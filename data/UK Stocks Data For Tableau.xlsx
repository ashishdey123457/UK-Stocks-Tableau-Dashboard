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s Prices" sheetId="1" r:id="rId4"/>
  </sheets>
  <definedNames/>
  <calcPr/>
</workbook>
</file>

<file path=xl/sharedStrings.xml><?xml version="1.0" encoding="utf-8"?>
<sst xmlns="http://schemas.openxmlformats.org/spreadsheetml/2006/main" count="1260" uniqueCount="7">
  <si>
    <t>Stocks</t>
  </si>
  <si>
    <t xml:space="preserve"> Daily % Change</t>
  </si>
  <si>
    <t>TSCO</t>
  </si>
  <si>
    <t>BARC</t>
  </si>
  <si>
    <t>ENT</t>
  </si>
  <si>
    <t>ULVR</t>
  </si>
  <si>
    <t>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</si>
</sst>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</cols>
  <sheetData>
    <row r="1">
      <c r="A1" s="1" t="s">
        <v>0</v>
      </c>
      <c r="B1" s="1" t="str">
        <f>IFERROR(__xludf.DUMMYFUNCTION("GOOGLEFINANCE(A2,""Price"",edate(today(),-12),today())"),"Date")</f>
        <v>Date</v>
      </c>
      <c r="C1" s="1" t="str">
        <f>IFERROR(__xludf.DUMMYFUNCTION("""COMPUTED_VALUE"""),"Close")</f>
        <v>Close</v>
      </c>
      <c r="D1" s="1" t="s">
        <v>1</v>
      </c>
      <c r="E1" s="2"/>
    </row>
    <row r="2">
      <c r="A2" s="1" t="s">
        <v>2</v>
      </c>
      <c r="B2" s="3">
        <f>IFERROR(__xludf.DUMMYFUNCTION("""COMPUTED_VALUE"""),45635.66666666667)</f>
        <v>45635.66667</v>
      </c>
      <c r="C2" s="4">
        <f>IFERROR(__xludf.DUMMYFUNCTION("""COMPUTED_VALUE"""),56.75)</f>
        <v>56.75</v>
      </c>
      <c r="D2" s="2"/>
      <c r="E2" s="2"/>
    </row>
    <row r="3">
      <c r="A3" s="1" t="s">
        <v>2</v>
      </c>
      <c r="B3" s="3">
        <f>IFERROR(__xludf.DUMMYFUNCTION("""COMPUTED_VALUE"""),45636.66666666667)</f>
        <v>45636.66667</v>
      </c>
      <c r="C3" s="4">
        <f>IFERROR(__xludf.DUMMYFUNCTION("""COMPUTED_VALUE"""),56.94)</f>
        <v>56.94</v>
      </c>
      <c r="D3" s="4">
        <f t="shared" ref="D3:D251" si="1">(C3-C2)/C2</f>
        <v>0.003348017621</v>
      </c>
      <c r="E3" s="2"/>
    </row>
    <row r="4">
      <c r="A4" s="1" t="s">
        <v>2</v>
      </c>
      <c r="B4" s="3">
        <f>IFERROR(__xludf.DUMMYFUNCTION("""COMPUTED_VALUE"""),45637.66666666667)</f>
        <v>45637.66667</v>
      </c>
      <c r="C4" s="4">
        <f>IFERROR(__xludf.DUMMYFUNCTION("""COMPUTED_VALUE"""),57.1)</f>
        <v>57.1</v>
      </c>
      <c r="D4" s="4">
        <f t="shared" si="1"/>
        <v>0.002809975413</v>
      </c>
      <c r="E4" s="2"/>
    </row>
    <row r="5">
      <c r="A5" s="1" t="s">
        <v>2</v>
      </c>
      <c r="B5" s="3">
        <f>IFERROR(__xludf.DUMMYFUNCTION("""COMPUTED_VALUE"""),45638.66666666667)</f>
        <v>45638.66667</v>
      </c>
      <c r="C5" s="4">
        <f>IFERROR(__xludf.DUMMYFUNCTION("""COMPUTED_VALUE"""),57.05)</f>
        <v>57.05</v>
      </c>
      <c r="D5" s="4">
        <f t="shared" si="1"/>
        <v>-0.0008756567426</v>
      </c>
      <c r="E5" s="2"/>
    </row>
    <row r="6">
      <c r="A6" s="1" t="s">
        <v>2</v>
      </c>
      <c r="B6" s="3">
        <f>IFERROR(__xludf.DUMMYFUNCTION("""COMPUTED_VALUE"""),45639.66666666667)</f>
        <v>45639.66667</v>
      </c>
      <c r="C6" s="4">
        <f>IFERROR(__xludf.DUMMYFUNCTION("""COMPUTED_VALUE"""),57.09)</f>
        <v>57.09</v>
      </c>
      <c r="D6" s="4">
        <f t="shared" si="1"/>
        <v>0.0007011393514</v>
      </c>
      <c r="E6" s="2"/>
    </row>
    <row r="7">
      <c r="A7" s="1" t="s">
        <v>2</v>
      </c>
      <c r="B7" s="3">
        <f>IFERROR(__xludf.DUMMYFUNCTION("""COMPUTED_VALUE"""),45642.66666666667)</f>
        <v>45642.66667</v>
      </c>
      <c r="C7" s="4">
        <f>IFERROR(__xludf.DUMMYFUNCTION("""COMPUTED_VALUE"""),55.3)</f>
        <v>55.3</v>
      </c>
      <c r="D7" s="4">
        <f t="shared" si="1"/>
        <v>-0.03135400245</v>
      </c>
      <c r="E7" s="2"/>
    </row>
    <row r="8">
      <c r="A8" s="1" t="s">
        <v>2</v>
      </c>
      <c r="B8" s="3">
        <f>IFERROR(__xludf.DUMMYFUNCTION("""COMPUTED_VALUE"""),45643.66666666667)</f>
        <v>45643.66667</v>
      </c>
      <c r="C8" s="4">
        <f>IFERROR(__xludf.DUMMYFUNCTION("""COMPUTED_VALUE"""),55.04)</f>
        <v>55.04</v>
      </c>
      <c r="D8" s="4">
        <f t="shared" si="1"/>
        <v>-0.004701627486</v>
      </c>
      <c r="E8" s="2"/>
    </row>
    <row r="9">
      <c r="A9" s="1" t="s">
        <v>2</v>
      </c>
      <c r="B9" s="3">
        <f>IFERROR(__xludf.DUMMYFUNCTION("""COMPUTED_VALUE"""),45644.66666666667)</f>
        <v>45644.66667</v>
      </c>
      <c r="C9" s="4">
        <f>IFERROR(__xludf.DUMMYFUNCTION("""COMPUTED_VALUE"""),53.04)</f>
        <v>53.04</v>
      </c>
      <c r="D9" s="4">
        <f t="shared" si="1"/>
        <v>-0.0363372093</v>
      </c>
      <c r="E9" s="2"/>
    </row>
    <row r="10">
      <c r="A10" s="1" t="s">
        <v>2</v>
      </c>
      <c r="B10" s="3">
        <f>IFERROR(__xludf.DUMMYFUNCTION("""COMPUTED_VALUE"""),45645.66666666667)</f>
        <v>45645.66667</v>
      </c>
      <c r="C10" s="4">
        <f>IFERROR(__xludf.DUMMYFUNCTION("""COMPUTED_VALUE"""),52.81)</f>
        <v>52.81</v>
      </c>
      <c r="D10" s="4">
        <f t="shared" si="1"/>
        <v>-0.004336349925</v>
      </c>
      <c r="E10" s="2"/>
    </row>
    <row r="11">
      <c r="A11" s="1" t="s">
        <v>2</v>
      </c>
      <c r="B11" s="3">
        <f>IFERROR(__xludf.DUMMYFUNCTION("""COMPUTED_VALUE"""),45646.66666666667)</f>
        <v>45646.66667</v>
      </c>
      <c r="C11" s="4">
        <f>IFERROR(__xludf.DUMMYFUNCTION("""COMPUTED_VALUE"""),53.92)</f>
        <v>53.92</v>
      </c>
      <c r="D11" s="4">
        <f t="shared" si="1"/>
        <v>0.02101874645</v>
      </c>
      <c r="E11" s="2"/>
    </row>
    <row r="12">
      <c r="A12" s="1" t="s">
        <v>2</v>
      </c>
      <c r="B12" s="3">
        <f>IFERROR(__xludf.DUMMYFUNCTION("""COMPUTED_VALUE"""),45649.66666666667)</f>
        <v>45649.66667</v>
      </c>
      <c r="C12" s="4">
        <f>IFERROR(__xludf.DUMMYFUNCTION("""COMPUTED_VALUE"""),53.69)</f>
        <v>53.69</v>
      </c>
      <c r="D12" s="4">
        <f t="shared" si="1"/>
        <v>-0.004265578635</v>
      </c>
      <c r="E12" s="2"/>
    </row>
    <row r="13">
      <c r="A13" s="1" t="s">
        <v>2</v>
      </c>
      <c r="B13" s="3">
        <f>IFERROR(__xludf.DUMMYFUNCTION("""COMPUTED_VALUE"""),45650.54513888889)</f>
        <v>45650.54514</v>
      </c>
      <c r="C13" s="4">
        <f>IFERROR(__xludf.DUMMYFUNCTION("""COMPUTED_VALUE"""),54.49)</f>
        <v>54.49</v>
      </c>
      <c r="D13" s="4">
        <f t="shared" si="1"/>
        <v>0.01490035388</v>
      </c>
      <c r="E13" s="2"/>
    </row>
    <row r="14">
      <c r="A14" s="1" t="s">
        <v>2</v>
      </c>
      <c r="B14" s="3">
        <f>IFERROR(__xludf.DUMMYFUNCTION("""COMPUTED_VALUE"""),45652.66666666667)</f>
        <v>45652.66667</v>
      </c>
      <c r="C14" s="4">
        <f>IFERROR(__xludf.DUMMYFUNCTION("""COMPUTED_VALUE"""),55.49)</f>
        <v>55.49</v>
      </c>
      <c r="D14" s="4">
        <f t="shared" si="1"/>
        <v>0.01835199119</v>
      </c>
      <c r="E14" s="2"/>
    </row>
    <row r="15">
      <c r="A15" s="1" t="s">
        <v>2</v>
      </c>
      <c r="B15" s="3">
        <f>IFERROR(__xludf.DUMMYFUNCTION("""COMPUTED_VALUE"""),45653.66666666667)</f>
        <v>45653.66667</v>
      </c>
      <c r="C15" s="4">
        <f>IFERROR(__xludf.DUMMYFUNCTION("""COMPUTED_VALUE"""),54.56)</f>
        <v>54.56</v>
      </c>
      <c r="D15" s="4">
        <f t="shared" si="1"/>
        <v>-0.01675977654</v>
      </c>
      <c r="E15" s="2"/>
    </row>
    <row r="16">
      <c r="A16" s="1" t="s">
        <v>2</v>
      </c>
      <c r="B16" s="3">
        <f>IFERROR(__xludf.DUMMYFUNCTION("""COMPUTED_VALUE"""),45656.66666666667)</f>
        <v>45656.66667</v>
      </c>
      <c r="C16" s="4">
        <f>IFERROR(__xludf.DUMMYFUNCTION("""COMPUTED_VALUE"""),52.59)</f>
        <v>52.59</v>
      </c>
      <c r="D16" s="4">
        <f t="shared" si="1"/>
        <v>-0.03610703812</v>
      </c>
      <c r="E16" s="2"/>
    </row>
    <row r="17">
      <c r="A17" s="1" t="s">
        <v>2</v>
      </c>
      <c r="B17" s="3">
        <f>IFERROR(__xludf.DUMMYFUNCTION("""COMPUTED_VALUE"""),45657.66666666667)</f>
        <v>45657.66667</v>
      </c>
      <c r="C17" s="4">
        <f>IFERROR(__xludf.DUMMYFUNCTION("""COMPUTED_VALUE"""),53.06)</f>
        <v>53.06</v>
      </c>
      <c r="D17" s="4">
        <f t="shared" si="1"/>
        <v>0.008937060278</v>
      </c>
      <c r="E17" s="2"/>
    </row>
    <row r="18">
      <c r="A18" s="1" t="s">
        <v>2</v>
      </c>
      <c r="B18" s="3">
        <f>IFERROR(__xludf.DUMMYFUNCTION("""COMPUTED_VALUE"""),45659.66666666667)</f>
        <v>45659.66667</v>
      </c>
      <c r="C18" s="4">
        <f>IFERROR(__xludf.DUMMYFUNCTION("""COMPUTED_VALUE"""),52.38)</f>
        <v>52.38</v>
      </c>
      <c r="D18" s="4">
        <f t="shared" si="1"/>
        <v>-0.01281568036</v>
      </c>
      <c r="E18" s="2"/>
    </row>
    <row r="19">
      <c r="A19" s="1" t="s">
        <v>2</v>
      </c>
      <c r="B19" s="3">
        <f>IFERROR(__xludf.DUMMYFUNCTION("""COMPUTED_VALUE"""),45660.66666666667)</f>
        <v>45660.66667</v>
      </c>
      <c r="C19" s="4">
        <f>IFERROR(__xludf.DUMMYFUNCTION("""COMPUTED_VALUE"""),51.93)</f>
        <v>51.93</v>
      </c>
      <c r="D19" s="4">
        <f t="shared" si="1"/>
        <v>-0.008591065292</v>
      </c>
      <c r="E19" s="2"/>
    </row>
    <row r="20">
      <c r="A20" s="1" t="s">
        <v>2</v>
      </c>
      <c r="B20" s="3">
        <f>IFERROR(__xludf.DUMMYFUNCTION("""COMPUTED_VALUE"""),45663.66666666667)</f>
        <v>45663.66667</v>
      </c>
      <c r="C20" s="4">
        <f>IFERROR(__xludf.DUMMYFUNCTION("""COMPUTED_VALUE"""),53.65)</f>
        <v>53.65</v>
      </c>
      <c r="D20" s="4">
        <f t="shared" si="1"/>
        <v>0.03312150972</v>
      </c>
      <c r="E20" s="2"/>
    </row>
    <row r="21">
      <c r="A21" s="1" t="s">
        <v>2</v>
      </c>
      <c r="B21" s="3">
        <f>IFERROR(__xludf.DUMMYFUNCTION("""COMPUTED_VALUE"""),45664.66666666667)</f>
        <v>45664.66667</v>
      </c>
      <c r="C21" s="4">
        <f>IFERROR(__xludf.DUMMYFUNCTION("""COMPUTED_VALUE"""),53.87)</f>
        <v>53.87</v>
      </c>
      <c r="D21" s="4">
        <f t="shared" si="1"/>
        <v>0.004100652377</v>
      </c>
      <c r="E21" s="2"/>
    </row>
    <row r="22">
      <c r="A22" s="1" t="s">
        <v>2</v>
      </c>
      <c r="B22" s="3">
        <f>IFERROR(__xludf.DUMMYFUNCTION("""COMPUTED_VALUE"""),45665.66666666667)</f>
        <v>45665.66667</v>
      </c>
      <c r="C22" s="4">
        <f>IFERROR(__xludf.DUMMYFUNCTION("""COMPUTED_VALUE"""),54.39)</f>
        <v>54.39</v>
      </c>
      <c r="D22" s="4">
        <f t="shared" si="1"/>
        <v>0.009652868016</v>
      </c>
      <c r="E22" s="2"/>
    </row>
    <row r="23">
      <c r="A23" s="1" t="s">
        <v>2</v>
      </c>
      <c r="B23" s="3">
        <f>IFERROR(__xludf.DUMMYFUNCTION("""COMPUTED_VALUE"""),45667.66666666667)</f>
        <v>45667.66667</v>
      </c>
      <c r="C23" s="4">
        <f>IFERROR(__xludf.DUMMYFUNCTION("""COMPUTED_VALUE"""),54.59)</f>
        <v>54.59</v>
      </c>
      <c r="D23" s="4">
        <f t="shared" si="1"/>
        <v>0.003677146534</v>
      </c>
      <c r="E23" s="2"/>
    </row>
    <row r="24">
      <c r="A24" s="1" t="s">
        <v>2</v>
      </c>
      <c r="B24" s="3">
        <f>IFERROR(__xludf.DUMMYFUNCTION("""COMPUTED_VALUE"""),45670.66666666667)</f>
        <v>45670.66667</v>
      </c>
      <c r="C24" s="4">
        <f>IFERROR(__xludf.DUMMYFUNCTION("""COMPUTED_VALUE"""),54.57)</f>
        <v>54.57</v>
      </c>
      <c r="D24" s="4">
        <f t="shared" si="1"/>
        <v>-0.0003663674666</v>
      </c>
      <c r="E24" s="2"/>
    </row>
    <row r="25">
      <c r="A25" s="1" t="s">
        <v>2</v>
      </c>
      <c r="B25" s="3">
        <f>IFERROR(__xludf.DUMMYFUNCTION("""COMPUTED_VALUE"""),45671.66666666667)</f>
        <v>45671.66667</v>
      </c>
      <c r="C25" s="4">
        <f>IFERROR(__xludf.DUMMYFUNCTION("""COMPUTED_VALUE"""),53.18)</f>
        <v>53.18</v>
      </c>
      <c r="D25" s="4">
        <f t="shared" si="1"/>
        <v>-0.02547187099</v>
      </c>
      <c r="E25" s="2"/>
    </row>
    <row r="26">
      <c r="A26" s="1" t="s">
        <v>2</v>
      </c>
      <c r="B26" s="3">
        <f>IFERROR(__xludf.DUMMYFUNCTION("""COMPUTED_VALUE"""),45672.66666666667)</f>
        <v>45672.66667</v>
      </c>
      <c r="C26" s="4">
        <f>IFERROR(__xludf.DUMMYFUNCTION("""COMPUTED_VALUE"""),53.1)</f>
        <v>53.1</v>
      </c>
      <c r="D26" s="4">
        <f t="shared" si="1"/>
        <v>-0.001504324934</v>
      </c>
      <c r="E26" s="2"/>
    </row>
    <row r="27">
      <c r="A27" s="1" t="s">
        <v>2</v>
      </c>
      <c r="B27" s="3">
        <f>IFERROR(__xludf.DUMMYFUNCTION("""COMPUTED_VALUE"""),45673.66666666667)</f>
        <v>45673.66667</v>
      </c>
      <c r="C27" s="4">
        <f>IFERROR(__xludf.DUMMYFUNCTION("""COMPUTED_VALUE"""),53.53)</f>
        <v>53.53</v>
      </c>
      <c r="D27" s="4">
        <f t="shared" si="1"/>
        <v>0.008097928437</v>
      </c>
      <c r="E27" s="2"/>
    </row>
    <row r="28">
      <c r="A28" s="1" t="s">
        <v>2</v>
      </c>
      <c r="B28" s="3">
        <f>IFERROR(__xludf.DUMMYFUNCTION("""COMPUTED_VALUE"""),45674.66666666667)</f>
        <v>45674.66667</v>
      </c>
      <c r="C28" s="4">
        <f>IFERROR(__xludf.DUMMYFUNCTION("""COMPUTED_VALUE"""),53.66)</f>
        <v>53.66</v>
      </c>
      <c r="D28" s="4">
        <f t="shared" si="1"/>
        <v>0.002428544741</v>
      </c>
      <c r="E28" s="2"/>
    </row>
    <row r="29">
      <c r="A29" s="1" t="s">
        <v>2</v>
      </c>
      <c r="B29" s="3">
        <f>IFERROR(__xludf.DUMMYFUNCTION("""COMPUTED_VALUE"""),45678.66666666667)</f>
        <v>45678.66667</v>
      </c>
      <c r="C29" s="4">
        <f>IFERROR(__xludf.DUMMYFUNCTION("""COMPUTED_VALUE"""),56.88)</f>
        <v>56.88</v>
      </c>
      <c r="D29" s="4">
        <f t="shared" si="1"/>
        <v>0.06000745434</v>
      </c>
      <c r="E29" s="2"/>
    </row>
    <row r="30">
      <c r="A30" s="1" t="s">
        <v>2</v>
      </c>
      <c r="B30" s="3">
        <f>IFERROR(__xludf.DUMMYFUNCTION("""COMPUTED_VALUE"""),45679.66666666667)</f>
        <v>45679.66667</v>
      </c>
      <c r="C30" s="4">
        <f>IFERROR(__xludf.DUMMYFUNCTION("""COMPUTED_VALUE"""),57.47)</f>
        <v>57.47</v>
      </c>
      <c r="D30" s="4">
        <f t="shared" si="1"/>
        <v>0.01037271449</v>
      </c>
      <c r="E30" s="2"/>
    </row>
    <row r="31">
      <c r="A31" s="1" t="s">
        <v>2</v>
      </c>
      <c r="B31" s="3">
        <f>IFERROR(__xludf.DUMMYFUNCTION("""COMPUTED_VALUE"""),45680.66666666667)</f>
        <v>45680.66667</v>
      </c>
      <c r="C31" s="4">
        <f>IFERROR(__xludf.DUMMYFUNCTION("""COMPUTED_VALUE"""),57.38)</f>
        <v>57.38</v>
      </c>
      <c r="D31" s="4">
        <f t="shared" si="1"/>
        <v>-0.001566034453</v>
      </c>
      <c r="E31" s="2"/>
    </row>
    <row r="32">
      <c r="A32" s="1" t="s">
        <v>2</v>
      </c>
      <c r="B32" s="3">
        <f>IFERROR(__xludf.DUMMYFUNCTION("""COMPUTED_VALUE"""),45681.66666666667)</f>
        <v>45681.66667</v>
      </c>
      <c r="C32" s="4">
        <f>IFERROR(__xludf.DUMMYFUNCTION("""COMPUTED_VALUE"""),57.94)</f>
        <v>57.94</v>
      </c>
      <c r="D32" s="4">
        <f t="shared" si="1"/>
        <v>0.009759498083</v>
      </c>
      <c r="E32" s="2"/>
    </row>
    <row r="33">
      <c r="A33" s="1" t="s">
        <v>2</v>
      </c>
      <c r="B33" s="3">
        <f>IFERROR(__xludf.DUMMYFUNCTION("""COMPUTED_VALUE"""),45684.66666666667)</f>
        <v>45684.66667</v>
      </c>
      <c r="C33" s="4">
        <f>IFERROR(__xludf.DUMMYFUNCTION("""COMPUTED_VALUE"""),57.93)</f>
        <v>57.93</v>
      </c>
      <c r="D33" s="4">
        <f t="shared" si="1"/>
        <v>-0.0001725923369</v>
      </c>
      <c r="E33" s="2"/>
    </row>
    <row r="34">
      <c r="A34" s="1" t="s">
        <v>2</v>
      </c>
      <c r="B34" s="3">
        <f>IFERROR(__xludf.DUMMYFUNCTION("""COMPUTED_VALUE"""),45685.66666666667)</f>
        <v>45685.66667</v>
      </c>
      <c r="C34" s="4">
        <f>IFERROR(__xludf.DUMMYFUNCTION("""COMPUTED_VALUE"""),57.38)</f>
        <v>57.38</v>
      </c>
      <c r="D34" s="4">
        <f t="shared" si="1"/>
        <v>-0.009494217159</v>
      </c>
      <c r="E34" s="2"/>
    </row>
    <row r="35">
      <c r="A35" s="1" t="s">
        <v>2</v>
      </c>
      <c r="B35" s="3">
        <f>IFERROR(__xludf.DUMMYFUNCTION("""COMPUTED_VALUE"""),45686.66666666667)</f>
        <v>45686.66667</v>
      </c>
      <c r="C35" s="4">
        <f>IFERROR(__xludf.DUMMYFUNCTION("""COMPUTED_VALUE"""),57.16)</f>
        <v>57.16</v>
      </c>
      <c r="D35" s="4">
        <f t="shared" si="1"/>
        <v>-0.003834088533</v>
      </c>
      <c r="E35" s="2"/>
    </row>
    <row r="36">
      <c r="A36" s="1" t="s">
        <v>2</v>
      </c>
      <c r="B36" s="3">
        <f>IFERROR(__xludf.DUMMYFUNCTION("""COMPUTED_VALUE"""),45687.66666666667)</f>
        <v>45687.66667</v>
      </c>
      <c r="C36" s="4">
        <f>IFERROR(__xludf.DUMMYFUNCTION("""COMPUTED_VALUE"""),54.29)</f>
        <v>54.29</v>
      </c>
      <c r="D36" s="4">
        <f t="shared" si="1"/>
        <v>-0.05020993702</v>
      </c>
      <c r="E36" s="2"/>
    </row>
    <row r="37">
      <c r="A37" s="1" t="s">
        <v>2</v>
      </c>
      <c r="B37" s="3">
        <f>IFERROR(__xludf.DUMMYFUNCTION("""COMPUTED_VALUE"""),45688.66666666667)</f>
        <v>45688.66667</v>
      </c>
      <c r="C37" s="4">
        <f>IFERROR(__xludf.DUMMYFUNCTION("""COMPUTED_VALUE"""),54.36)</f>
        <v>54.36</v>
      </c>
      <c r="D37" s="4">
        <f t="shared" si="1"/>
        <v>0.001289371892</v>
      </c>
      <c r="E37" s="2"/>
    </row>
    <row r="38">
      <c r="A38" s="1" t="s">
        <v>2</v>
      </c>
      <c r="B38" s="3">
        <f>IFERROR(__xludf.DUMMYFUNCTION("""COMPUTED_VALUE"""),45691.66666666667)</f>
        <v>45691.66667</v>
      </c>
      <c r="C38" s="4">
        <f>IFERROR(__xludf.DUMMYFUNCTION("""COMPUTED_VALUE"""),54.58)</f>
        <v>54.58</v>
      </c>
      <c r="D38" s="4">
        <f t="shared" si="1"/>
        <v>0.004047093451</v>
      </c>
      <c r="E38" s="2"/>
    </row>
    <row r="39">
      <c r="A39" s="1" t="s">
        <v>2</v>
      </c>
      <c r="B39" s="3">
        <f>IFERROR(__xludf.DUMMYFUNCTION("""COMPUTED_VALUE"""),45692.66666666667)</f>
        <v>45692.66667</v>
      </c>
      <c r="C39" s="4">
        <f>IFERROR(__xludf.DUMMYFUNCTION("""COMPUTED_VALUE"""),54.04)</f>
        <v>54.04</v>
      </c>
      <c r="D39" s="4">
        <f t="shared" si="1"/>
        <v>-0.009893733968</v>
      </c>
      <c r="E39" s="2"/>
    </row>
    <row r="40">
      <c r="A40" s="1" t="s">
        <v>2</v>
      </c>
      <c r="B40" s="3">
        <f>IFERROR(__xludf.DUMMYFUNCTION("""COMPUTED_VALUE"""),45693.66666666667)</f>
        <v>45693.66667</v>
      </c>
      <c r="C40" s="4">
        <f>IFERROR(__xludf.DUMMYFUNCTION("""COMPUTED_VALUE"""),53.61)</f>
        <v>53.61</v>
      </c>
      <c r="D40" s="4">
        <f t="shared" si="1"/>
        <v>-0.007957068838</v>
      </c>
      <c r="E40" s="2"/>
    </row>
    <row r="41">
      <c r="A41" s="1" t="s">
        <v>2</v>
      </c>
      <c r="B41" s="3">
        <f>IFERROR(__xludf.DUMMYFUNCTION("""COMPUTED_VALUE"""),45694.66666666667)</f>
        <v>45694.66667</v>
      </c>
      <c r="C41" s="4">
        <f>IFERROR(__xludf.DUMMYFUNCTION("""COMPUTED_VALUE"""),53.06)</f>
        <v>53.06</v>
      </c>
      <c r="D41" s="4">
        <f t="shared" si="1"/>
        <v>-0.01025927999</v>
      </c>
      <c r="E41" s="2"/>
    </row>
    <row r="42">
      <c r="A42" s="1" t="s">
        <v>2</v>
      </c>
      <c r="B42" s="3">
        <f>IFERROR(__xludf.DUMMYFUNCTION("""COMPUTED_VALUE"""),45695.66666666667)</f>
        <v>45695.66667</v>
      </c>
      <c r="C42" s="4">
        <f>IFERROR(__xludf.DUMMYFUNCTION("""COMPUTED_VALUE"""),52.95)</f>
        <v>52.95</v>
      </c>
      <c r="D42" s="4">
        <f t="shared" si="1"/>
        <v>-0.002073124764</v>
      </c>
      <c r="E42" s="2"/>
    </row>
    <row r="43">
      <c r="A43" s="1" t="s">
        <v>2</v>
      </c>
      <c r="B43" s="3">
        <f>IFERROR(__xludf.DUMMYFUNCTION("""COMPUTED_VALUE"""),45698.66666666667)</f>
        <v>45698.66667</v>
      </c>
      <c r="C43" s="4">
        <f>IFERROR(__xludf.DUMMYFUNCTION("""COMPUTED_VALUE"""),54.43)</f>
        <v>54.43</v>
      </c>
      <c r="D43" s="4">
        <f t="shared" si="1"/>
        <v>0.02795089707</v>
      </c>
      <c r="E43" s="2"/>
    </row>
    <row r="44">
      <c r="A44" s="1" t="s">
        <v>2</v>
      </c>
      <c r="B44" s="3">
        <f>IFERROR(__xludf.DUMMYFUNCTION("""COMPUTED_VALUE"""),45699.66666666667)</f>
        <v>45699.66667</v>
      </c>
      <c r="C44" s="4">
        <f>IFERROR(__xludf.DUMMYFUNCTION("""COMPUTED_VALUE"""),54.97)</f>
        <v>54.97</v>
      </c>
      <c r="D44" s="4">
        <f t="shared" si="1"/>
        <v>0.009920999449</v>
      </c>
      <c r="E44" s="2"/>
    </row>
    <row r="45">
      <c r="A45" s="1" t="s">
        <v>2</v>
      </c>
      <c r="B45" s="3">
        <f>IFERROR(__xludf.DUMMYFUNCTION("""COMPUTED_VALUE"""),45700.66666666667)</f>
        <v>45700.66667</v>
      </c>
      <c r="C45" s="4">
        <f>IFERROR(__xludf.DUMMYFUNCTION("""COMPUTED_VALUE"""),55.87)</f>
        <v>55.87</v>
      </c>
      <c r="D45" s="4">
        <f t="shared" si="1"/>
        <v>0.01637256685</v>
      </c>
      <c r="E45" s="2"/>
    </row>
    <row r="46">
      <c r="A46" s="1" t="s">
        <v>2</v>
      </c>
      <c r="B46" s="3">
        <f>IFERROR(__xludf.DUMMYFUNCTION("""COMPUTED_VALUE"""),45701.66666666667)</f>
        <v>45701.66667</v>
      </c>
      <c r="C46" s="4">
        <f>IFERROR(__xludf.DUMMYFUNCTION("""COMPUTED_VALUE"""),56.99)</f>
        <v>56.99</v>
      </c>
      <c r="D46" s="4">
        <f t="shared" si="1"/>
        <v>0.0200465366</v>
      </c>
      <c r="E46" s="2"/>
    </row>
    <row r="47">
      <c r="A47" s="1" t="s">
        <v>2</v>
      </c>
      <c r="B47" s="3">
        <f>IFERROR(__xludf.DUMMYFUNCTION("""COMPUTED_VALUE"""),45702.66666666667)</f>
        <v>45702.66667</v>
      </c>
      <c r="C47" s="4">
        <f>IFERROR(__xludf.DUMMYFUNCTION("""COMPUTED_VALUE"""),57.14)</f>
        <v>57.14</v>
      </c>
      <c r="D47" s="4">
        <f t="shared" si="1"/>
        <v>0.002632040709</v>
      </c>
      <c r="E47" s="2"/>
    </row>
    <row r="48">
      <c r="A48" s="1" t="s">
        <v>2</v>
      </c>
      <c r="B48" s="3">
        <f>IFERROR(__xludf.DUMMYFUNCTION("""COMPUTED_VALUE"""),45706.66666666667)</f>
        <v>45706.66667</v>
      </c>
      <c r="C48" s="4">
        <f>IFERROR(__xludf.DUMMYFUNCTION("""COMPUTED_VALUE"""),57.72)</f>
        <v>57.72</v>
      </c>
      <c r="D48" s="4">
        <f t="shared" si="1"/>
        <v>0.01015050753</v>
      </c>
      <c r="E48" s="2"/>
    </row>
    <row r="49">
      <c r="A49" s="1" t="s">
        <v>2</v>
      </c>
      <c r="B49" s="3">
        <f>IFERROR(__xludf.DUMMYFUNCTION("""COMPUTED_VALUE"""),45707.66666666667)</f>
        <v>45707.66667</v>
      </c>
      <c r="C49" s="4">
        <f>IFERROR(__xludf.DUMMYFUNCTION("""COMPUTED_VALUE"""),57.86)</f>
        <v>57.86</v>
      </c>
      <c r="D49" s="4">
        <f t="shared" si="1"/>
        <v>0.002425502426</v>
      </c>
      <c r="E49" s="2"/>
    </row>
    <row r="50">
      <c r="A50" s="1" t="s">
        <v>2</v>
      </c>
      <c r="B50" s="3">
        <f>IFERROR(__xludf.DUMMYFUNCTION("""COMPUTED_VALUE"""),45708.66666666667)</f>
        <v>45708.66667</v>
      </c>
      <c r="C50" s="4">
        <f>IFERROR(__xludf.DUMMYFUNCTION("""COMPUTED_VALUE"""),57.74)</f>
        <v>57.74</v>
      </c>
      <c r="D50" s="4">
        <f t="shared" si="1"/>
        <v>-0.002073971656</v>
      </c>
      <c r="E50" s="2"/>
    </row>
    <row r="51">
      <c r="A51" s="1" t="s">
        <v>2</v>
      </c>
      <c r="B51" s="3">
        <f>IFERROR(__xludf.DUMMYFUNCTION("""COMPUTED_VALUE"""),45709.66666666667)</f>
        <v>45709.66667</v>
      </c>
      <c r="C51" s="4">
        <f>IFERROR(__xludf.DUMMYFUNCTION("""COMPUTED_VALUE"""),56.37)</f>
        <v>56.37</v>
      </c>
      <c r="D51" s="4">
        <f t="shared" si="1"/>
        <v>-0.0237270523</v>
      </c>
      <c r="E51" s="2"/>
    </row>
    <row r="52">
      <c r="A52" s="1" t="s">
        <v>2</v>
      </c>
      <c r="B52" s="3">
        <f>IFERROR(__xludf.DUMMYFUNCTION("""COMPUTED_VALUE"""),45712.66666666667)</f>
        <v>45712.66667</v>
      </c>
      <c r="C52" s="4">
        <f>IFERROR(__xludf.DUMMYFUNCTION("""COMPUTED_VALUE"""),56.06)</f>
        <v>56.06</v>
      </c>
      <c r="D52" s="4">
        <f t="shared" si="1"/>
        <v>-0.005499379102</v>
      </c>
      <c r="E52" s="2"/>
    </row>
    <row r="53">
      <c r="A53" s="1" t="s">
        <v>2</v>
      </c>
      <c r="B53" s="3">
        <f>IFERROR(__xludf.DUMMYFUNCTION("""COMPUTED_VALUE"""),45713.66666666667)</f>
        <v>45713.66667</v>
      </c>
      <c r="C53" s="4">
        <f>IFERROR(__xludf.DUMMYFUNCTION("""COMPUTED_VALUE"""),57.01)</f>
        <v>57.01</v>
      </c>
      <c r="D53" s="4">
        <f t="shared" si="1"/>
        <v>0.01694612915</v>
      </c>
      <c r="E53" s="2"/>
    </row>
    <row r="54">
      <c r="A54" s="1" t="s">
        <v>2</v>
      </c>
      <c r="B54" s="3">
        <f>IFERROR(__xludf.DUMMYFUNCTION("""COMPUTED_VALUE"""),45714.66666666667)</f>
        <v>45714.66667</v>
      </c>
      <c r="C54" s="4">
        <f>IFERROR(__xludf.DUMMYFUNCTION("""COMPUTED_VALUE"""),55.14)</f>
        <v>55.14</v>
      </c>
      <c r="D54" s="4">
        <f t="shared" si="1"/>
        <v>-0.03280126294</v>
      </c>
      <c r="E54" s="2"/>
    </row>
    <row r="55">
      <c r="A55" s="1" t="s">
        <v>2</v>
      </c>
      <c r="B55" s="3">
        <f>IFERROR(__xludf.DUMMYFUNCTION("""COMPUTED_VALUE"""),45715.66666666667)</f>
        <v>45715.66667</v>
      </c>
      <c r="C55" s="4">
        <f>IFERROR(__xludf.DUMMYFUNCTION("""COMPUTED_VALUE"""),54.72)</f>
        <v>54.72</v>
      </c>
      <c r="D55" s="4">
        <f t="shared" si="1"/>
        <v>-0.007616974973</v>
      </c>
      <c r="E55" s="2"/>
    </row>
    <row r="56">
      <c r="A56" s="1" t="s">
        <v>2</v>
      </c>
      <c r="B56" s="3">
        <f>IFERROR(__xludf.DUMMYFUNCTION("""COMPUTED_VALUE"""),45716.66666666667)</f>
        <v>45716.66667</v>
      </c>
      <c r="C56" s="4">
        <f>IFERROR(__xludf.DUMMYFUNCTION("""COMPUTED_VALUE"""),55.35)</f>
        <v>55.35</v>
      </c>
      <c r="D56" s="4">
        <f t="shared" si="1"/>
        <v>0.01151315789</v>
      </c>
      <c r="E56" s="2"/>
    </row>
    <row r="57">
      <c r="A57" s="1" t="s">
        <v>2</v>
      </c>
      <c r="B57" s="3">
        <f>IFERROR(__xludf.DUMMYFUNCTION("""COMPUTED_VALUE"""),45719.66666666667)</f>
        <v>45719.66667</v>
      </c>
      <c r="C57" s="4">
        <f>IFERROR(__xludf.DUMMYFUNCTION("""COMPUTED_VALUE"""),54.9)</f>
        <v>54.9</v>
      </c>
      <c r="D57" s="4">
        <f t="shared" si="1"/>
        <v>-0.008130081301</v>
      </c>
      <c r="E57" s="2"/>
    </row>
    <row r="58">
      <c r="A58" s="1" t="s">
        <v>2</v>
      </c>
      <c r="B58" s="3">
        <f>IFERROR(__xludf.DUMMYFUNCTION("""COMPUTED_VALUE"""),45720.66666666667)</f>
        <v>45720.66667</v>
      </c>
      <c r="C58" s="4">
        <f>IFERROR(__xludf.DUMMYFUNCTION("""COMPUTED_VALUE"""),55.1)</f>
        <v>55.1</v>
      </c>
      <c r="D58" s="4">
        <f t="shared" si="1"/>
        <v>0.00364298725</v>
      </c>
      <c r="E58" s="2"/>
    </row>
    <row r="59">
      <c r="A59" s="1" t="s">
        <v>2</v>
      </c>
      <c r="B59" s="3">
        <f>IFERROR(__xludf.DUMMYFUNCTION("""COMPUTED_VALUE"""),45721.66666666667)</f>
        <v>45721.66667</v>
      </c>
      <c r="C59" s="4">
        <f>IFERROR(__xludf.DUMMYFUNCTION("""COMPUTED_VALUE"""),54.95)</f>
        <v>54.95</v>
      </c>
      <c r="D59" s="4">
        <f t="shared" si="1"/>
        <v>-0.002722323049</v>
      </c>
      <c r="E59" s="2"/>
    </row>
    <row r="60">
      <c r="A60" s="1" t="s">
        <v>2</v>
      </c>
      <c r="B60" s="3">
        <f>IFERROR(__xludf.DUMMYFUNCTION("""COMPUTED_VALUE"""),45722.66666666667)</f>
        <v>45722.66667</v>
      </c>
      <c r="C60" s="4">
        <f>IFERROR(__xludf.DUMMYFUNCTION("""COMPUTED_VALUE"""),54.59)</f>
        <v>54.59</v>
      </c>
      <c r="D60" s="4">
        <f t="shared" si="1"/>
        <v>-0.006551410373</v>
      </c>
      <c r="E60" s="2"/>
    </row>
    <row r="61">
      <c r="A61" s="1" t="s">
        <v>2</v>
      </c>
      <c r="B61" s="3">
        <f>IFERROR(__xludf.DUMMYFUNCTION("""COMPUTED_VALUE"""),45723.66666666667)</f>
        <v>45723.66667</v>
      </c>
      <c r="C61" s="4">
        <f>IFERROR(__xludf.DUMMYFUNCTION("""COMPUTED_VALUE"""),56.89)</f>
        <v>56.89</v>
      </c>
      <c r="D61" s="4">
        <f t="shared" si="1"/>
        <v>0.04213225866</v>
      </c>
      <c r="E61" s="2"/>
    </row>
    <row r="62">
      <c r="A62" s="1" t="s">
        <v>2</v>
      </c>
      <c r="B62" s="3">
        <f>IFERROR(__xludf.DUMMYFUNCTION("""COMPUTED_VALUE"""),45726.66666666667)</f>
        <v>45726.66667</v>
      </c>
      <c r="C62" s="4">
        <f>IFERROR(__xludf.DUMMYFUNCTION("""COMPUTED_VALUE"""),57.21)</f>
        <v>57.21</v>
      </c>
      <c r="D62" s="4">
        <f t="shared" si="1"/>
        <v>0.005624890139</v>
      </c>
      <c r="E62" s="2"/>
    </row>
    <row r="63">
      <c r="A63" s="1" t="s">
        <v>2</v>
      </c>
      <c r="B63" s="3">
        <f>IFERROR(__xludf.DUMMYFUNCTION("""COMPUTED_VALUE"""),45727.66666666667)</f>
        <v>45727.66667</v>
      </c>
      <c r="C63" s="4">
        <f>IFERROR(__xludf.DUMMYFUNCTION("""COMPUTED_VALUE"""),53.92)</f>
        <v>53.92</v>
      </c>
      <c r="D63" s="4">
        <f t="shared" si="1"/>
        <v>-0.05750742877</v>
      </c>
      <c r="E63" s="2"/>
    </row>
    <row r="64">
      <c r="A64" s="1" t="s">
        <v>2</v>
      </c>
      <c r="B64" s="3">
        <f>IFERROR(__xludf.DUMMYFUNCTION("""COMPUTED_VALUE"""),45728.66666666667)</f>
        <v>45728.66667</v>
      </c>
      <c r="C64" s="4">
        <f>IFERROR(__xludf.DUMMYFUNCTION("""COMPUTED_VALUE"""),52.36)</f>
        <v>52.36</v>
      </c>
      <c r="D64" s="4">
        <f t="shared" si="1"/>
        <v>-0.02893175074</v>
      </c>
      <c r="E64" s="2"/>
    </row>
    <row r="65">
      <c r="A65" s="1" t="s">
        <v>2</v>
      </c>
      <c r="B65" s="3">
        <f>IFERROR(__xludf.DUMMYFUNCTION("""COMPUTED_VALUE"""),45729.66666666667)</f>
        <v>45729.66667</v>
      </c>
      <c r="C65" s="4">
        <f>IFERROR(__xludf.DUMMYFUNCTION("""COMPUTED_VALUE"""),51.66)</f>
        <v>51.66</v>
      </c>
      <c r="D65" s="4">
        <f t="shared" si="1"/>
        <v>-0.01336898396</v>
      </c>
      <c r="E65" s="2"/>
    </row>
    <row r="66">
      <c r="A66" s="1" t="s">
        <v>2</v>
      </c>
      <c r="B66" s="3">
        <f>IFERROR(__xludf.DUMMYFUNCTION("""COMPUTED_VALUE"""),45730.66666666667)</f>
        <v>45730.66667</v>
      </c>
      <c r="C66" s="4">
        <f>IFERROR(__xludf.DUMMYFUNCTION("""COMPUTED_VALUE"""),51.83)</f>
        <v>51.83</v>
      </c>
      <c r="D66" s="4">
        <f t="shared" si="1"/>
        <v>0.003290747193</v>
      </c>
      <c r="E66" s="2"/>
    </row>
    <row r="67">
      <c r="A67" s="1" t="s">
        <v>2</v>
      </c>
      <c r="B67" s="3">
        <f>IFERROR(__xludf.DUMMYFUNCTION("""COMPUTED_VALUE"""),45733.66666666667)</f>
        <v>45733.66667</v>
      </c>
      <c r="C67" s="4">
        <f>IFERROR(__xludf.DUMMYFUNCTION("""COMPUTED_VALUE"""),53.13)</f>
        <v>53.13</v>
      </c>
      <c r="D67" s="4">
        <f t="shared" si="1"/>
        <v>0.02508199884</v>
      </c>
      <c r="E67" s="2"/>
    </row>
    <row r="68">
      <c r="A68" s="1" t="s">
        <v>2</v>
      </c>
      <c r="B68" s="3">
        <f>IFERROR(__xludf.DUMMYFUNCTION("""COMPUTED_VALUE"""),45734.66666666667)</f>
        <v>45734.66667</v>
      </c>
      <c r="C68" s="4">
        <f>IFERROR(__xludf.DUMMYFUNCTION("""COMPUTED_VALUE"""),52.65)</f>
        <v>52.65</v>
      </c>
      <c r="D68" s="4">
        <f t="shared" si="1"/>
        <v>-0.009034443817</v>
      </c>
      <c r="E68" s="2"/>
    </row>
    <row r="69">
      <c r="A69" s="1" t="s">
        <v>2</v>
      </c>
      <c r="B69" s="3">
        <f>IFERROR(__xludf.DUMMYFUNCTION("""COMPUTED_VALUE"""),45735.66666666667)</f>
        <v>45735.66667</v>
      </c>
      <c r="C69" s="4">
        <f>IFERROR(__xludf.DUMMYFUNCTION("""COMPUTED_VALUE"""),52.8)</f>
        <v>52.8</v>
      </c>
      <c r="D69" s="4">
        <f t="shared" si="1"/>
        <v>0.002849002849</v>
      </c>
      <c r="E69" s="2"/>
    </row>
    <row r="70">
      <c r="A70" s="1" t="s">
        <v>2</v>
      </c>
      <c r="B70" s="3">
        <f>IFERROR(__xludf.DUMMYFUNCTION("""COMPUTED_VALUE"""),45736.66666666667)</f>
        <v>45736.66667</v>
      </c>
      <c r="C70" s="4">
        <f>IFERROR(__xludf.DUMMYFUNCTION("""COMPUTED_VALUE"""),51.84)</f>
        <v>51.84</v>
      </c>
      <c r="D70" s="4">
        <f t="shared" si="1"/>
        <v>-0.01818181818</v>
      </c>
      <c r="E70" s="2"/>
    </row>
    <row r="71">
      <c r="A71" s="1" t="s">
        <v>2</v>
      </c>
      <c r="B71" s="3">
        <f>IFERROR(__xludf.DUMMYFUNCTION("""COMPUTED_VALUE"""),45737.66666666667)</f>
        <v>45737.66667</v>
      </c>
      <c r="C71" s="4">
        <f>IFERROR(__xludf.DUMMYFUNCTION("""COMPUTED_VALUE"""),52.46)</f>
        <v>52.46</v>
      </c>
      <c r="D71" s="4">
        <f t="shared" si="1"/>
        <v>0.01195987654</v>
      </c>
      <c r="E71" s="2"/>
    </row>
    <row r="72">
      <c r="A72" s="1" t="s">
        <v>2</v>
      </c>
      <c r="B72" s="3">
        <f>IFERROR(__xludf.DUMMYFUNCTION("""COMPUTED_VALUE"""),45740.66666666667)</f>
        <v>45740.66667</v>
      </c>
      <c r="C72" s="4">
        <f>IFERROR(__xludf.DUMMYFUNCTION("""COMPUTED_VALUE"""),53.53)</f>
        <v>53.53</v>
      </c>
      <c r="D72" s="4">
        <f t="shared" si="1"/>
        <v>0.02039649257</v>
      </c>
      <c r="E72" s="2"/>
    </row>
    <row r="73">
      <c r="A73" s="1" t="s">
        <v>2</v>
      </c>
      <c r="B73" s="3">
        <f>IFERROR(__xludf.DUMMYFUNCTION("""COMPUTED_VALUE"""),45741.66666666667)</f>
        <v>45741.66667</v>
      </c>
      <c r="C73" s="4">
        <f>IFERROR(__xludf.DUMMYFUNCTION("""COMPUTED_VALUE"""),52.83)</f>
        <v>52.83</v>
      </c>
      <c r="D73" s="4">
        <f t="shared" si="1"/>
        <v>-0.01307677938</v>
      </c>
      <c r="E73" s="2"/>
    </row>
    <row r="74">
      <c r="A74" s="1" t="s">
        <v>2</v>
      </c>
      <c r="B74" s="3">
        <f>IFERROR(__xludf.DUMMYFUNCTION("""COMPUTED_VALUE"""),45742.66666666667)</f>
        <v>45742.66667</v>
      </c>
      <c r="C74" s="4">
        <f>IFERROR(__xludf.DUMMYFUNCTION("""COMPUTED_VALUE"""),53.87)</f>
        <v>53.87</v>
      </c>
      <c r="D74" s="4">
        <f t="shared" si="1"/>
        <v>0.01968578459</v>
      </c>
      <c r="E74" s="2"/>
    </row>
    <row r="75">
      <c r="A75" s="1" t="s">
        <v>2</v>
      </c>
      <c r="B75" s="3">
        <f>IFERROR(__xludf.DUMMYFUNCTION("""COMPUTED_VALUE"""),45743.66666666667)</f>
        <v>45743.66667</v>
      </c>
      <c r="C75" s="4">
        <f>IFERROR(__xludf.DUMMYFUNCTION("""COMPUTED_VALUE"""),54.16)</f>
        <v>54.16</v>
      </c>
      <c r="D75" s="4">
        <f t="shared" si="1"/>
        <v>0.005383330239</v>
      </c>
      <c r="E75" s="2"/>
    </row>
    <row r="76">
      <c r="A76" s="1" t="s">
        <v>2</v>
      </c>
      <c r="B76" s="3">
        <f>IFERROR(__xludf.DUMMYFUNCTION("""COMPUTED_VALUE"""),45744.66666666667)</f>
        <v>45744.66667</v>
      </c>
      <c r="C76" s="4">
        <f>IFERROR(__xludf.DUMMYFUNCTION("""COMPUTED_VALUE"""),53.47)</f>
        <v>53.47</v>
      </c>
      <c r="D76" s="4">
        <f t="shared" si="1"/>
        <v>-0.01274002954</v>
      </c>
      <c r="E76" s="2"/>
    </row>
    <row r="77">
      <c r="A77" s="1" t="s">
        <v>2</v>
      </c>
      <c r="B77" s="3">
        <f>IFERROR(__xludf.DUMMYFUNCTION("""COMPUTED_VALUE"""),45747.66666666667)</f>
        <v>45747.66667</v>
      </c>
      <c r="C77" s="4">
        <f>IFERROR(__xludf.DUMMYFUNCTION("""COMPUTED_VALUE"""),55.1)</f>
        <v>55.1</v>
      </c>
      <c r="D77" s="4">
        <f t="shared" si="1"/>
        <v>0.03048438377</v>
      </c>
      <c r="E77" s="2"/>
    </row>
    <row r="78">
      <c r="A78" s="1" t="s">
        <v>2</v>
      </c>
      <c r="B78" s="3">
        <f>IFERROR(__xludf.DUMMYFUNCTION("""COMPUTED_VALUE"""),45748.66666666667)</f>
        <v>45748.66667</v>
      </c>
      <c r="C78" s="4">
        <f>IFERROR(__xludf.DUMMYFUNCTION("""COMPUTED_VALUE"""),55.13)</f>
        <v>55.13</v>
      </c>
      <c r="D78" s="4">
        <f t="shared" si="1"/>
        <v>0.0005444646098</v>
      </c>
      <c r="E78" s="2"/>
    </row>
    <row r="79">
      <c r="A79" s="1" t="s">
        <v>2</v>
      </c>
      <c r="B79" s="3">
        <f>IFERROR(__xludf.DUMMYFUNCTION("""COMPUTED_VALUE"""),45749.66666666667)</f>
        <v>45749.66667</v>
      </c>
      <c r="C79" s="4">
        <f>IFERROR(__xludf.DUMMYFUNCTION("""COMPUTED_VALUE"""),55.62)</f>
        <v>55.62</v>
      </c>
      <c r="D79" s="4">
        <f t="shared" si="1"/>
        <v>0.008888082714</v>
      </c>
      <c r="E79" s="2"/>
    </row>
    <row r="80">
      <c r="A80" s="1" t="s">
        <v>2</v>
      </c>
      <c r="B80" s="3">
        <f>IFERROR(__xludf.DUMMYFUNCTION("""COMPUTED_VALUE"""),45750.66666666667)</f>
        <v>45750.66667</v>
      </c>
      <c r="C80" s="4">
        <f>IFERROR(__xludf.DUMMYFUNCTION("""COMPUTED_VALUE"""),55.77)</f>
        <v>55.77</v>
      </c>
      <c r="D80" s="4">
        <f t="shared" si="1"/>
        <v>0.002696871629</v>
      </c>
      <c r="E80" s="2"/>
    </row>
    <row r="81">
      <c r="A81" s="1" t="s">
        <v>2</v>
      </c>
      <c r="B81" s="3">
        <f>IFERROR(__xludf.DUMMYFUNCTION("""COMPUTED_VALUE"""),45751.66666666667)</f>
        <v>45751.66667</v>
      </c>
      <c r="C81" s="4">
        <f>IFERROR(__xludf.DUMMYFUNCTION("""COMPUTED_VALUE"""),52.4)</f>
        <v>52.4</v>
      </c>
      <c r="D81" s="4">
        <f t="shared" si="1"/>
        <v>-0.06042675273</v>
      </c>
      <c r="E81" s="2"/>
    </row>
    <row r="82">
      <c r="A82" s="1" t="s">
        <v>2</v>
      </c>
      <c r="B82" s="3">
        <f>IFERROR(__xludf.DUMMYFUNCTION("""COMPUTED_VALUE"""),45754.66666666667)</f>
        <v>45754.66667</v>
      </c>
      <c r="C82" s="4">
        <f>IFERROR(__xludf.DUMMYFUNCTION("""COMPUTED_VALUE"""),49.35)</f>
        <v>49.35</v>
      </c>
      <c r="D82" s="4">
        <f t="shared" si="1"/>
        <v>-0.05820610687</v>
      </c>
      <c r="E82" s="2"/>
    </row>
    <row r="83">
      <c r="A83" s="1" t="s">
        <v>2</v>
      </c>
      <c r="B83" s="3">
        <f>IFERROR(__xludf.DUMMYFUNCTION("""COMPUTED_VALUE"""),45755.66666666667)</f>
        <v>45755.66667</v>
      </c>
      <c r="C83" s="4">
        <f>IFERROR(__xludf.DUMMYFUNCTION("""COMPUTED_VALUE"""),48.02)</f>
        <v>48.02</v>
      </c>
      <c r="D83" s="4">
        <f t="shared" si="1"/>
        <v>-0.02695035461</v>
      </c>
      <c r="E83" s="2"/>
    </row>
    <row r="84">
      <c r="A84" s="1" t="s">
        <v>2</v>
      </c>
      <c r="B84" s="3">
        <f>IFERROR(__xludf.DUMMYFUNCTION("""COMPUTED_VALUE"""),45756.66666666667)</f>
        <v>45756.66667</v>
      </c>
      <c r="C84" s="4">
        <f>IFERROR(__xludf.DUMMYFUNCTION("""COMPUTED_VALUE"""),51.38)</f>
        <v>51.38</v>
      </c>
      <c r="D84" s="4">
        <f t="shared" si="1"/>
        <v>0.06997084548</v>
      </c>
      <c r="E84" s="2"/>
    </row>
    <row r="85">
      <c r="A85" s="1" t="s">
        <v>2</v>
      </c>
      <c r="B85" s="3">
        <f>IFERROR(__xludf.DUMMYFUNCTION("""COMPUTED_VALUE"""),45757.66666666667)</f>
        <v>45757.66667</v>
      </c>
      <c r="C85" s="4">
        <f>IFERROR(__xludf.DUMMYFUNCTION("""COMPUTED_VALUE"""),51.32)</f>
        <v>51.32</v>
      </c>
      <c r="D85" s="4">
        <f t="shared" si="1"/>
        <v>-0.00116776956</v>
      </c>
      <c r="E85" s="2"/>
    </row>
    <row r="86">
      <c r="A86" s="1" t="s">
        <v>2</v>
      </c>
      <c r="B86" s="3">
        <f>IFERROR(__xludf.DUMMYFUNCTION("""COMPUTED_VALUE"""),45758.66666666667)</f>
        <v>45758.66667</v>
      </c>
      <c r="C86" s="4">
        <f>IFERROR(__xludf.DUMMYFUNCTION("""COMPUTED_VALUE"""),51.67)</f>
        <v>51.67</v>
      </c>
      <c r="D86" s="4">
        <f t="shared" si="1"/>
        <v>0.006819953235</v>
      </c>
      <c r="E86" s="2"/>
    </row>
    <row r="87">
      <c r="A87" s="1" t="s">
        <v>2</v>
      </c>
      <c r="B87" s="3">
        <f>IFERROR(__xludf.DUMMYFUNCTION("""COMPUTED_VALUE"""),45761.66666666667)</f>
        <v>45761.66667</v>
      </c>
      <c r="C87" s="4">
        <f>IFERROR(__xludf.DUMMYFUNCTION("""COMPUTED_VALUE"""),52.17)</f>
        <v>52.17</v>
      </c>
      <c r="D87" s="4">
        <f t="shared" si="1"/>
        <v>0.009676795045</v>
      </c>
      <c r="E87" s="2"/>
    </row>
    <row r="88">
      <c r="A88" s="1" t="s">
        <v>2</v>
      </c>
      <c r="B88" s="3">
        <f>IFERROR(__xludf.DUMMYFUNCTION("""COMPUTED_VALUE"""),45762.66666666667)</f>
        <v>45762.66667</v>
      </c>
      <c r="C88" s="4">
        <f>IFERROR(__xludf.DUMMYFUNCTION("""COMPUTED_VALUE"""),51.0)</f>
        <v>51</v>
      </c>
      <c r="D88" s="4">
        <f t="shared" si="1"/>
        <v>-0.022426682</v>
      </c>
      <c r="E88" s="2"/>
    </row>
    <row r="89">
      <c r="A89" s="1" t="s">
        <v>2</v>
      </c>
      <c r="B89" s="3">
        <f>IFERROR(__xludf.DUMMYFUNCTION("""COMPUTED_VALUE"""),45763.66666666667)</f>
        <v>45763.66667</v>
      </c>
      <c r="C89" s="4">
        <f>IFERROR(__xludf.DUMMYFUNCTION("""COMPUTED_VALUE"""),49.36)</f>
        <v>49.36</v>
      </c>
      <c r="D89" s="4">
        <f t="shared" si="1"/>
        <v>-0.03215686275</v>
      </c>
      <c r="E89" s="2"/>
    </row>
    <row r="90">
      <c r="A90" s="1" t="s">
        <v>2</v>
      </c>
      <c r="B90" s="3">
        <f>IFERROR(__xludf.DUMMYFUNCTION("""COMPUTED_VALUE"""),45764.66666666667)</f>
        <v>45764.66667</v>
      </c>
      <c r="C90" s="4">
        <f>IFERROR(__xludf.DUMMYFUNCTION("""COMPUTED_VALUE"""),50.16)</f>
        <v>50.16</v>
      </c>
      <c r="D90" s="4">
        <f t="shared" si="1"/>
        <v>0.01620745543</v>
      </c>
      <c r="E90" s="2"/>
    </row>
    <row r="91">
      <c r="A91" s="1" t="s">
        <v>2</v>
      </c>
      <c r="B91" s="3">
        <f>IFERROR(__xludf.DUMMYFUNCTION("""COMPUTED_VALUE"""),45768.66666666667)</f>
        <v>45768.66667</v>
      </c>
      <c r="C91" s="4">
        <f>IFERROR(__xludf.DUMMYFUNCTION("""COMPUTED_VALUE"""),49.59)</f>
        <v>49.59</v>
      </c>
      <c r="D91" s="4">
        <f t="shared" si="1"/>
        <v>-0.01136363636</v>
      </c>
      <c r="E91" s="2"/>
    </row>
    <row r="92">
      <c r="A92" s="1" t="s">
        <v>2</v>
      </c>
      <c r="B92" s="3">
        <f>IFERROR(__xludf.DUMMYFUNCTION("""COMPUTED_VALUE"""),45769.66666666667)</f>
        <v>45769.66667</v>
      </c>
      <c r="C92" s="4">
        <f>IFERROR(__xludf.DUMMYFUNCTION("""COMPUTED_VALUE"""),50.28)</f>
        <v>50.28</v>
      </c>
      <c r="D92" s="4">
        <f t="shared" si="1"/>
        <v>0.01391409558</v>
      </c>
      <c r="E92" s="2"/>
    </row>
    <row r="93">
      <c r="A93" s="1" t="s">
        <v>2</v>
      </c>
      <c r="B93" s="3">
        <f>IFERROR(__xludf.DUMMYFUNCTION("""COMPUTED_VALUE"""),45770.66666666667)</f>
        <v>45770.66667</v>
      </c>
      <c r="C93" s="4">
        <f>IFERROR(__xludf.DUMMYFUNCTION("""COMPUTED_VALUE"""),50.73)</f>
        <v>50.73</v>
      </c>
      <c r="D93" s="4">
        <f t="shared" si="1"/>
        <v>0.008949880668</v>
      </c>
      <c r="E93" s="2"/>
    </row>
    <row r="94">
      <c r="A94" s="1" t="s">
        <v>2</v>
      </c>
      <c r="B94" s="3">
        <f>IFERROR(__xludf.DUMMYFUNCTION("""COMPUTED_VALUE"""),45771.66666666667)</f>
        <v>45771.66667</v>
      </c>
      <c r="C94" s="4">
        <f>IFERROR(__xludf.DUMMYFUNCTION("""COMPUTED_VALUE"""),49.0)</f>
        <v>49</v>
      </c>
      <c r="D94" s="4">
        <f t="shared" si="1"/>
        <v>-0.03410210921</v>
      </c>
      <c r="E94" s="2"/>
    </row>
    <row r="95">
      <c r="A95" s="1" t="s">
        <v>2</v>
      </c>
      <c r="B95" s="3">
        <f>IFERROR(__xludf.DUMMYFUNCTION("""COMPUTED_VALUE"""),45772.66666666667)</f>
        <v>45772.66667</v>
      </c>
      <c r="C95" s="4">
        <f>IFERROR(__xludf.DUMMYFUNCTION("""COMPUTED_VALUE"""),49.92)</f>
        <v>49.92</v>
      </c>
      <c r="D95" s="4">
        <f t="shared" si="1"/>
        <v>0.0187755102</v>
      </c>
      <c r="E95" s="2"/>
    </row>
    <row r="96">
      <c r="A96" s="1" t="s">
        <v>2</v>
      </c>
      <c r="B96" s="3">
        <f>IFERROR(__xludf.DUMMYFUNCTION("""COMPUTED_VALUE"""),45775.66666666667)</f>
        <v>45775.66667</v>
      </c>
      <c r="C96" s="4">
        <f>IFERROR(__xludf.DUMMYFUNCTION("""COMPUTED_VALUE"""),49.0)</f>
        <v>49</v>
      </c>
      <c r="D96" s="4">
        <f t="shared" si="1"/>
        <v>-0.01842948718</v>
      </c>
      <c r="E96" s="2"/>
    </row>
    <row r="97">
      <c r="A97" s="1" t="s">
        <v>2</v>
      </c>
      <c r="B97" s="3">
        <f>IFERROR(__xludf.DUMMYFUNCTION("""COMPUTED_VALUE"""),45776.66666666667)</f>
        <v>45776.66667</v>
      </c>
      <c r="C97" s="4">
        <f>IFERROR(__xludf.DUMMYFUNCTION("""COMPUTED_VALUE"""),49.87)</f>
        <v>49.87</v>
      </c>
      <c r="D97" s="4">
        <f t="shared" si="1"/>
        <v>0.01775510204</v>
      </c>
      <c r="E97" s="2"/>
    </row>
    <row r="98">
      <c r="A98" s="1" t="s">
        <v>2</v>
      </c>
      <c r="B98" s="3">
        <f>IFERROR(__xludf.DUMMYFUNCTION("""COMPUTED_VALUE"""),45777.66666666667)</f>
        <v>45777.66667</v>
      </c>
      <c r="C98" s="4">
        <f>IFERROR(__xludf.DUMMYFUNCTION("""COMPUTED_VALUE"""),50.62)</f>
        <v>50.62</v>
      </c>
      <c r="D98" s="4">
        <f t="shared" si="1"/>
        <v>0.01503910166</v>
      </c>
      <c r="E98" s="2"/>
    </row>
    <row r="99">
      <c r="A99" s="1" t="s">
        <v>2</v>
      </c>
      <c r="B99" s="3">
        <f>IFERROR(__xludf.DUMMYFUNCTION("""COMPUTED_VALUE"""),45778.66666666667)</f>
        <v>45778.66667</v>
      </c>
      <c r="C99" s="4">
        <f>IFERROR(__xludf.DUMMYFUNCTION("""COMPUTED_VALUE"""),50.35)</f>
        <v>50.35</v>
      </c>
      <c r="D99" s="4">
        <f t="shared" si="1"/>
        <v>-0.005333860134</v>
      </c>
      <c r="E99" s="2"/>
    </row>
    <row r="100">
      <c r="A100" s="1" t="s">
        <v>2</v>
      </c>
      <c r="B100" s="3">
        <f>IFERROR(__xludf.DUMMYFUNCTION("""COMPUTED_VALUE"""),45779.66666666667)</f>
        <v>45779.66667</v>
      </c>
      <c r="C100" s="4">
        <f>IFERROR(__xludf.DUMMYFUNCTION("""COMPUTED_VALUE"""),50.84)</f>
        <v>50.84</v>
      </c>
      <c r="D100" s="4">
        <f t="shared" si="1"/>
        <v>0.009731876862</v>
      </c>
      <c r="E100" s="2"/>
    </row>
    <row r="101">
      <c r="A101" s="1" t="s">
        <v>2</v>
      </c>
      <c r="B101" s="3">
        <f>IFERROR(__xludf.DUMMYFUNCTION("""COMPUTED_VALUE"""),45782.66666666667)</f>
        <v>45782.66667</v>
      </c>
      <c r="C101" s="4">
        <f>IFERROR(__xludf.DUMMYFUNCTION("""COMPUTED_VALUE"""),51.24)</f>
        <v>51.24</v>
      </c>
      <c r="D101" s="4">
        <f t="shared" si="1"/>
        <v>0.007867820614</v>
      </c>
      <c r="E101" s="2"/>
    </row>
    <row r="102">
      <c r="A102" s="1" t="s">
        <v>2</v>
      </c>
      <c r="B102" s="3">
        <f>IFERROR(__xludf.DUMMYFUNCTION("""COMPUTED_VALUE"""),45783.66666666667)</f>
        <v>45783.66667</v>
      </c>
      <c r="C102" s="4">
        <f>IFERROR(__xludf.DUMMYFUNCTION("""COMPUTED_VALUE"""),51.02)</f>
        <v>51.02</v>
      </c>
      <c r="D102" s="4">
        <f t="shared" si="1"/>
        <v>-0.004293520687</v>
      </c>
      <c r="E102" s="2"/>
    </row>
    <row r="103">
      <c r="A103" s="1" t="s">
        <v>2</v>
      </c>
      <c r="B103" s="3">
        <f>IFERROR(__xludf.DUMMYFUNCTION("""COMPUTED_VALUE"""),45784.66666666667)</f>
        <v>45784.66667</v>
      </c>
      <c r="C103" s="4">
        <f>IFERROR(__xludf.DUMMYFUNCTION("""COMPUTED_VALUE"""),50.96)</f>
        <v>50.96</v>
      </c>
      <c r="D103" s="4">
        <f t="shared" si="1"/>
        <v>-0.001176009408</v>
      </c>
      <c r="E103" s="2"/>
    </row>
    <row r="104">
      <c r="A104" s="1" t="s">
        <v>2</v>
      </c>
      <c r="B104" s="3">
        <f>IFERROR(__xludf.DUMMYFUNCTION("""COMPUTED_VALUE"""),45785.66666666667)</f>
        <v>45785.66667</v>
      </c>
      <c r="C104" s="4">
        <f>IFERROR(__xludf.DUMMYFUNCTION("""COMPUTED_VALUE"""),51.42)</f>
        <v>51.42</v>
      </c>
      <c r="D104" s="4">
        <f t="shared" si="1"/>
        <v>0.009026687598</v>
      </c>
      <c r="E104" s="2"/>
    </row>
    <row r="105">
      <c r="A105" s="1" t="s">
        <v>2</v>
      </c>
      <c r="B105" s="3">
        <f>IFERROR(__xludf.DUMMYFUNCTION("""COMPUTED_VALUE"""),45786.66666666667)</f>
        <v>45786.66667</v>
      </c>
      <c r="C105" s="4">
        <f>IFERROR(__xludf.DUMMYFUNCTION("""COMPUTED_VALUE"""),51.3)</f>
        <v>51.3</v>
      </c>
      <c r="D105" s="4">
        <f t="shared" si="1"/>
        <v>-0.002333722287</v>
      </c>
      <c r="E105" s="2"/>
    </row>
    <row r="106">
      <c r="A106" s="1" t="s">
        <v>2</v>
      </c>
      <c r="B106" s="3">
        <f>IFERROR(__xludf.DUMMYFUNCTION("""COMPUTED_VALUE"""),45789.66666666667)</f>
        <v>45789.66667</v>
      </c>
      <c r="C106" s="4">
        <f>IFERROR(__xludf.DUMMYFUNCTION("""COMPUTED_VALUE"""),52.72)</f>
        <v>52.72</v>
      </c>
      <c r="D106" s="4">
        <f t="shared" si="1"/>
        <v>0.02768031189</v>
      </c>
      <c r="E106" s="2"/>
    </row>
    <row r="107">
      <c r="A107" s="1" t="s">
        <v>2</v>
      </c>
      <c r="B107" s="3">
        <f>IFERROR(__xludf.DUMMYFUNCTION("""COMPUTED_VALUE"""),45790.66666666667)</f>
        <v>45790.66667</v>
      </c>
      <c r="C107" s="4">
        <f>IFERROR(__xludf.DUMMYFUNCTION("""COMPUTED_VALUE"""),52.31)</f>
        <v>52.31</v>
      </c>
      <c r="D107" s="4">
        <f t="shared" si="1"/>
        <v>-0.00777693475</v>
      </c>
      <c r="E107" s="2"/>
    </row>
    <row r="108">
      <c r="A108" s="1" t="s">
        <v>2</v>
      </c>
      <c r="B108" s="3">
        <f>IFERROR(__xludf.DUMMYFUNCTION("""COMPUTED_VALUE"""),45791.66666666667)</f>
        <v>45791.66667</v>
      </c>
      <c r="C108" s="4">
        <f>IFERROR(__xludf.DUMMYFUNCTION("""COMPUTED_VALUE"""),51.38)</f>
        <v>51.38</v>
      </c>
      <c r="D108" s="4">
        <f t="shared" si="1"/>
        <v>-0.01777862741</v>
      </c>
      <c r="E108" s="2"/>
    </row>
    <row r="109">
      <c r="A109" s="1" t="s">
        <v>2</v>
      </c>
      <c r="B109" s="3">
        <f>IFERROR(__xludf.DUMMYFUNCTION("""COMPUTED_VALUE"""),45792.66666666667)</f>
        <v>45792.66667</v>
      </c>
      <c r="C109" s="4">
        <f>IFERROR(__xludf.DUMMYFUNCTION("""COMPUTED_VALUE"""),52.17)</f>
        <v>52.17</v>
      </c>
      <c r="D109" s="4">
        <f t="shared" si="1"/>
        <v>0.01537563254</v>
      </c>
      <c r="E109" s="2"/>
    </row>
    <row r="110">
      <c r="A110" s="1" t="s">
        <v>2</v>
      </c>
      <c r="B110" s="3">
        <f>IFERROR(__xludf.DUMMYFUNCTION("""COMPUTED_VALUE"""),45793.66666666667)</f>
        <v>45793.66667</v>
      </c>
      <c r="C110" s="4">
        <f>IFERROR(__xludf.DUMMYFUNCTION("""COMPUTED_VALUE"""),52.99)</f>
        <v>52.99</v>
      </c>
      <c r="D110" s="4">
        <f t="shared" si="1"/>
        <v>0.01571784551</v>
      </c>
      <c r="E110" s="2"/>
    </row>
    <row r="111">
      <c r="A111" s="1" t="s">
        <v>2</v>
      </c>
      <c r="B111" s="3">
        <f>IFERROR(__xludf.DUMMYFUNCTION("""COMPUTED_VALUE"""),45796.66666666667)</f>
        <v>45796.66667</v>
      </c>
      <c r="C111" s="4">
        <f>IFERROR(__xludf.DUMMYFUNCTION("""COMPUTED_VALUE"""),52.91)</f>
        <v>52.91</v>
      </c>
      <c r="D111" s="4">
        <f t="shared" si="1"/>
        <v>-0.001509718815</v>
      </c>
      <c r="E111" s="2"/>
    </row>
    <row r="112">
      <c r="A112" s="1" t="s">
        <v>2</v>
      </c>
      <c r="B112" s="3">
        <f>IFERROR(__xludf.DUMMYFUNCTION("""COMPUTED_VALUE"""),45797.66666666667)</f>
        <v>45797.66667</v>
      </c>
      <c r="C112" s="4">
        <f>IFERROR(__xludf.DUMMYFUNCTION("""COMPUTED_VALUE"""),51.6)</f>
        <v>51.6</v>
      </c>
      <c r="D112" s="4">
        <f t="shared" si="1"/>
        <v>-0.02475902476</v>
      </c>
      <c r="E112" s="2"/>
    </row>
    <row r="113">
      <c r="A113" s="1" t="s">
        <v>2</v>
      </c>
      <c r="B113" s="3">
        <f>IFERROR(__xludf.DUMMYFUNCTION("""COMPUTED_VALUE"""),45798.66666666667)</f>
        <v>45798.66667</v>
      </c>
      <c r="C113" s="4">
        <f>IFERROR(__xludf.DUMMYFUNCTION("""COMPUTED_VALUE"""),50.04)</f>
        <v>50.04</v>
      </c>
      <c r="D113" s="4">
        <f t="shared" si="1"/>
        <v>-0.03023255814</v>
      </c>
      <c r="E113" s="2"/>
    </row>
    <row r="114">
      <c r="A114" s="1" t="s">
        <v>2</v>
      </c>
      <c r="B114" s="3">
        <f>IFERROR(__xludf.DUMMYFUNCTION("""COMPUTED_VALUE"""),45799.66666666667)</f>
        <v>45799.66667</v>
      </c>
      <c r="C114" s="4">
        <f>IFERROR(__xludf.DUMMYFUNCTION("""COMPUTED_VALUE"""),50.04)</f>
        <v>50.04</v>
      </c>
      <c r="D114" s="4">
        <f t="shared" si="1"/>
        <v>0</v>
      </c>
      <c r="E114" s="2"/>
    </row>
    <row r="115">
      <c r="A115" s="1" t="s">
        <v>2</v>
      </c>
      <c r="B115" s="3">
        <f>IFERROR(__xludf.DUMMYFUNCTION("""COMPUTED_VALUE"""),45800.66666666667)</f>
        <v>45800.66667</v>
      </c>
      <c r="C115" s="4">
        <f>IFERROR(__xludf.DUMMYFUNCTION("""COMPUTED_VALUE"""),49.7)</f>
        <v>49.7</v>
      </c>
      <c r="D115" s="4">
        <f t="shared" si="1"/>
        <v>-0.006794564349</v>
      </c>
      <c r="E115" s="2"/>
    </row>
    <row r="116">
      <c r="A116" s="1" t="s">
        <v>2</v>
      </c>
      <c r="B116" s="3">
        <f>IFERROR(__xludf.DUMMYFUNCTION("""COMPUTED_VALUE"""),45804.66666666667)</f>
        <v>45804.66667</v>
      </c>
      <c r="C116" s="4">
        <f>IFERROR(__xludf.DUMMYFUNCTION("""COMPUTED_VALUE"""),50.38)</f>
        <v>50.38</v>
      </c>
      <c r="D116" s="4">
        <f t="shared" si="1"/>
        <v>0.01368209256</v>
      </c>
      <c r="E116" s="2"/>
    </row>
    <row r="117">
      <c r="A117" s="1" t="s">
        <v>2</v>
      </c>
      <c r="B117" s="3">
        <f>IFERROR(__xludf.DUMMYFUNCTION("""COMPUTED_VALUE"""),45805.66666666667)</f>
        <v>45805.66667</v>
      </c>
      <c r="C117" s="4">
        <f>IFERROR(__xludf.DUMMYFUNCTION("""COMPUTED_VALUE"""),49.06)</f>
        <v>49.06</v>
      </c>
      <c r="D117" s="4">
        <f t="shared" si="1"/>
        <v>-0.02620087336</v>
      </c>
      <c r="E117" s="2"/>
    </row>
    <row r="118">
      <c r="A118" s="1" t="s">
        <v>2</v>
      </c>
      <c r="B118" s="3">
        <f>IFERROR(__xludf.DUMMYFUNCTION("""COMPUTED_VALUE"""),45806.66666666667)</f>
        <v>45806.66667</v>
      </c>
      <c r="C118" s="4">
        <f>IFERROR(__xludf.DUMMYFUNCTION("""COMPUTED_VALUE"""),48.97)</f>
        <v>48.97</v>
      </c>
      <c r="D118" s="4">
        <f t="shared" si="1"/>
        <v>-0.001834488382</v>
      </c>
      <c r="E118" s="2"/>
    </row>
    <row r="119">
      <c r="A119" s="1" t="s">
        <v>2</v>
      </c>
      <c r="B119" s="3">
        <f>IFERROR(__xludf.DUMMYFUNCTION("""COMPUTED_VALUE"""),45807.66666666667)</f>
        <v>45807.66667</v>
      </c>
      <c r="C119" s="4">
        <f>IFERROR(__xludf.DUMMYFUNCTION("""COMPUTED_VALUE"""),48.4)</f>
        <v>48.4</v>
      </c>
      <c r="D119" s="4">
        <f t="shared" si="1"/>
        <v>-0.01163977946</v>
      </c>
      <c r="E119" s="2"/>
    </row>
    <row r="120">
      <c r="A120" s="1" t="s">
        <v>2</v>
      </c>
      <c r="B120" s="3">
        <f>IFERROR(__xludf.DUMMYFUNCTION("""COMPUTED_VALUE"""),45810.66666666667)</f>
        <v>45810.66667</v>
      </c>
      <c r="C120" s="4">
        <f>IFERROR(__xludf.DUMMYFUNCTION("""COMPUTED_VALUE"""),47.86)</f>
        <v>47.86</v>
      </c>
      <c r="D120" s="4">
        <f t="shared" si="1"/>
        <v>-0.01115702479</v>
      </c>
      <c r="E120" s="2"/>
    </row>
    <row r="121">
      <c r="A121" s="1" t="s">
        <v>2</v>
      </c>
      <c r="B121" s="3">
        <f>IFERROR(__xludf.DUMMYFUNCTION("""COMPUTED_VALUE"""),45811.66666666667)</f>
        <v>45811.66667</v>
      </c>
      <c r="C121" s="4">
        <f>IFERROR(__xludf.DUMMYFUNCTION("""COMPUTED_VALUE"""),49.05)</f>
        <v>49.05</v>
      </c>
      <c r="D121" s="4">
        <f t="shared" si="1"/>
        <v>0.02486418721</v>
      </c>
      <c r="E121" s="2"/>
    </row>
    <row r="122">
      <c r="A122" s="1" t="s">
        <v>2</v>
      </c>
      <c r="B122" s="3">
        <f>IFERROR(__xludf.DUMMYFUNCTION("""COMPUTED_VALUE"""),45812.66666666667)</f>
        <v>45812.66667</v>
      </c>
      <c r="C122" s="4">
        <f>IFERROR(__xludf.DUMMYFUNCTION("""COMPUTED_VALUE"""),49.34)</f>
        <v>49.34</v>
      </c>
      <c r="D122" s="4">
        <f t="shared" si="1"/>
        <v>0.005912334353</v>
      </c>
      <c r="E122" s="2"/>
    </row>
    <row r="123">
      <c r="A123" s="1" t="s">
        <v>2</v>
      </c>
      <c r="B123" s="3">
        <f>IFERROR(__xludf.DUMMYFUNCTION("""COMPUTED_VALUE"""),45813.66666666667)</f>
        <v>45813.66667</v>
      </c>
      <c r="C123" s="4">
        <f>IFERROR(__xludf.DUMMYFUNCTION("""COMPUTED_VALUE"""),51.45)</f>
        <v>51.45</v>
      </c>
      <c r="D123" s="4">
        <f t="shared" si="1"/>
        <v>0.04276449128</v>
      </c>
      <c r="E123" s="2"/>
    </row>
    <row r="124">
      <c r="A124" s="1" t="s">
        <v>2</v>
      </c>
      <c r="B124" s="3">
        <f>IFERROR(__xludf.DUMMYFUNCTION("""COMPUTED_VALUE"""),45814.66666666667)</f>
        <v>45814.66667</v>
      </c>
      <c r="C124" s="4">
        <f>IFERROR(__xludf.DUMMYFUNCTION("""COMPUTED_VALUE"""),50.94)</f>
        <v>50.94</v>
      </c>
      <c r="D124" s="4">
        <f t="shared" si="1"/>
        <v>-0.009912536443</v>
      </c>
      <c r="E124" s="2"/>
    </row>
    <row r="125">
      <c r="A125" s="1" t="s">
        <v>2</v>
      </c>
      <c r="B125" s="3">
        <f>IFERROR(__xludf.DUMMYFUNCTION("""COMPUTED_VALUE"""),45817.66666666667)</f>
        <v>45817.66667</v>
      </c>
      <c r="C125" s="4">
        <f>IFERROR(__xludf.DUMMYFUNCTION("""COMPUTED_VALUE"""),50.51)</f>
        <v>50.51</v>
      </c>
      <c r="D125" s="4">
        <f t="shared" si="1"/>
        <v>-0.008441303494</v>
      </c>
      <c r="E125" s="2"/>
    </row>
    <row r="126">
      <c r="A126" s="1" t="s">
        <v>2</v>
      </c>
      <c r="B126" s="3">
        <f>IFERROR(__xludf.DUMMYFUNCTION("""COMPUTED_VALUE"""),45818.66666666667)</f>
        <v>45818.66667</v>
      </c>
      <c r="C126" s="4">
        <f>IFERROR(__xludf.DUMMYFUNCTION("""COMPUTED_VALUE"""),51.48)</f>
        <v>51.48</v>
      </c>
      <c r="D126" s="4">
        <f t="shared" si="1"/>
        <v>0.019204118</v>
      </c>
      <c r="E126" s="2"/>
    </row>
    <row r="127">
      <c r="A127" s="1" t="s">
        <v>2</v>
      </c>
      <c r="B127" s="3">
        <f>IFERROR(__xludf.DUMMYFUNCTION("""COMPUTED_VALUE"""),45819.66666666667)</f>
        <v>45819.66667</v>
      </c>
      <c r="C127" s="4">
        <f>IFERROR(__xludf.DUMMYFUNCTION("""COMPUTED_VALUE"""),51.31)</f>
        <v>51.31</v>
      </c>
      <c r="D127" s="4">
        <f t="shared" si="1"/>
        <v>-0.003302253302</v>
      </c>
      <c r="E127" s="2"/>
    </row>
    <row r="128">
      <c r="A128" s="1" t="s">
        <v>2</v>
      </c>
      <c r="B128" s="3">
        <f>IFERROR(__xludf.DUMMYFUNCTION("""COMPUTED_VALUE"""),45820.66666666667)</f>
        <v>45820.66667</v>
      </c>
      <c r="C128" s="4">
        <f>IFERROR(__xludf.DUMMYFUNCTION("""COMPUTED_VALUE"""),51.74)</f>
        <v>51.74</v>
      </c>
      <c r="D128" s="4">
        <f t="shared" si="1"/>
        <v>0.008380432664</v>
      </c>
      <c r="E128" s="2"/>
    </row>
    <row r="129">
      <c r="A129" s="1" t="s">
        <v>2</v>
      </c>
      <c r="B129" s="3">
        <f>IFERROR(__xludf.DUMMYFUNCTION("""COMPUTED_VALUE"""),45821.66666666667)</f>
        <v>45821.66667</v>
      </c>
      <c r="C129" s="4">
        <f>IFERROR(__xludf.DUMMYFUNCTION("""COMPUTED_VALUE"""),51.54)</f>
        <v>51.54</v>
      </c>
      <c r="D129" s="4">
        <f t="shared" si="1"/>
        <v>-0.003865481252</v>
      </c>
      <c r="E129" s="2"/>
    </row>
    <row r="130">
      <c r="A130" s="1" t="s">
        <v>2</v>
      </c>
      <c r="B130" s="3">
        <f>IFERROR(__xludf.DUMMYFUNCTION("""COMPUTED_VALUE"""),45824.66666666667)</f>
        <v>45824.66667</v>
      </c>
      <c r="C130" s="4">
        <f>IFERROR(__xludf.DUMMYFUNCTION("""COMPUTED_VALUE"""),51.69)</f>
        <v>51.69</v>
      </c>
      <c r="D130" s="4">
        <f t="shared" si="1"/>
        <v>0.002910360885</v>
      </c>
      <c r="E130" s="2"/>
    </row>
    <row r="131">
      <c r="A131" s="1" t="s">
        <v>2</v>
      </c>
      <c r="B131" s="3">
        <f>IFERROR(__xludf.DUMMYFUNCTION("""COMPUTED_VALUE"""),45825.66666666667)</f>
        <v>45825.66667</v>
      </c>
      <c r="C131" s="4">
        <f>IFERROR(__xludf.DUMMYFUNCTION("""COMPUTED_VALUE"""),50.98)</f>
        <v>50.98</v>
      </c>
      <c r="D131" s="4">
        <f t="shared" si="1"/>
        <v>-0.01373573225</v>
      </c>
      <c r="E131" s="2"/>
    </row>
    <row r="132">
      <c r="A132" s="1" t="s">
        <v>2</v>
      </c>
      <c r="B132" s="3">
        <f>IFERROR(__xludf.DUMMYFUNCTION("""COMPUTED_VALUE"""),45826.66666666667)</f>
        <v>45826.66667</v>
      </c>
      <c r="C132" s="4">
        <f>IFERROR(__xludf.DUMMYFUNCTION("""COMPUTED_VALUE"""),52.03)</f>
        <v>52.03</v>
      </c>
      <c r="D132" s="4">
        <f t="shared" si="1"/>
        <v>0.02059631228</v>
      </c>
      <c r="E132" s="2"/>
    </row>
    <row r="133">
      <c r="A133" s="1" t="s">
        <v>2</v>
      </c>
      <c r="B133" s="3">
        <f>IFERROR(__xludf.DUMMYFUNCTION("""COMPUTED_VALUE"""),45828.66666666667)</f>
        <v>45828.66667</v>
      </c>
      <c r="C133" s="4">
        <f>IFERROR(__xludf.DUMMYFUNCTION("""COMPUTED_VALUE"""),52.52)</f>
        <v>52.52</v>
      </c>
      <c r="D133" s="4">
        <f t="shared" si="1"/>
        <v>0.009417643667</v>
      </c>
      <c r="E133" s="2"/>
    </row>
    <row r="134">
      <c r="A134" s="1" t="s">
        <v>2</v>
      </c>
      <c r="B134" s="3">
        <f>IFERROR(__xludf.DUMMYFUNCTION("""COMPUTED_VALUE"""),45831.66666666667)</f>
        <v>45831.66667</v>
      </c>
      <c r="C134" s="4">
        <f>IFERROR(__xludf.DUMMYFUNCTION("""COMPUTED_VALUE"""),53.66)</f>
        <v>53.66</v>
      </c>
      <c r="D134" s="4">
        <f t="shared" si="1"/>
        <v>0.02170601676</v>
      </c>
      <c r="E134" s="2"/>
    </row>
    <row r="135">
      <c r="A135" s="1" t="s">
        <v>2</v>
      </c>
      <c r="B135" s="3">
        <f>IFERROR(__xludf.DUMMYFUNCTION("""COMPUTED_VALUE"""),45832.66666666667)</f>
        <v>45832.66667</v>
      </c>
      <c r="C135" s="4">
        <f>IFERROR(__xludf.DUMMYFUNCTION("""COMPUTED_VALUE"""),53.51)</f>
        <v>53.51</v>
      </c>
      <c r="D135" s="4">
        <f t="shared" si="1"/>
        <v>-0.002795378308</v>
      </c>
      <c r="E135" s="2"/>
    </row>
    <row r="136">
      <c r="A136" s="1" t="s">
        <v>2</v>
      </c>
      <c r="B136" s="3">
        <f>IFERROR(__xludf.DUMMYFUNCTION("""COMPUTED_VALUE"""),45833.66666666667)</f>
        <v>45833.66667</v>
      </c>
      <c r="C136" s="4">
        <f>IFERROR(__xludf.DUMMYFUNCTION("""COMPUTED_VALUE"""),52.8)</f>
        <v>52.8</v>
      </c>
      <c r="D136" s="4">
        <f t="shared" si="1"/>
        <v>-0.01326854793</v>
      </c>
      <c r="E136" s="2"/>
    </row>
    <row r="137">
      <c r="A137" s="1" t="s">
        <v>2</v>
      </c>
      <c r="B137" s="3">
        <f>IFERROR(__xludf.DUMMYFUNCTION("""COMPUTED_VALUE"""),45834.66666666667)</f>
        <v>45834.66667</v>
      </c>
      <c r="C137" s="4">
        <f>IFERROR(__xludf.DUMMYFUNCTION("""COMPUTED_VALUE"""),51.84)</f>
        <v>51.84</v>
      </c>
      <c r="D137" s="4">
        <f t="shared" si="1"/>
        <v>-0.01818181818</v>
      </c>
      <c r="E137" s="2"/>
    </row>
    <row r="138">
      <c r="A138" s="1" t="s">
        <v>2</v>
      </c>
      <c r="B138" s="3">
        <f>IFERROR(__xludf.DUMMYFUNCTION("""COMPUTED_VALUE"""),45835.66666666667)</f>
        <v>45835.66667</v>
      </c>
      <c r="C138" s="4">
        <f>IFERROR(__xludf.DUMMYFUNCTION("""COMPUTED_VALUE"""),51.71)</f>
        <v>51.71</v>
      </c>
      <c r="D138" s="4">
        <f t="shared" si="1"/>
        <v>-0.002507716049</v>
      </c>
      <c r="E138" s="2"/>
    </row>
    <row r="139">
      <c r="A139" s="1" t="s">
        <v>2</v>
      </c>
      <c r="B139" s="3">
        <f>IFERROR(__xludf.DUMMYFUNCTION("""COMPUTED_VALUE"""),45838.66666666667)</f>
        <v>45838.66667</v>
      </c>
      <c r="C139" s="4">
        <f>IFERROR(__xludf.DUMMYFUNCTION("""COMPUTED_VALUE"""),52.77)</f>
        <v>52.77</v>
      </c>
      <c r="D139" s="4">
        <f t="shared" si="1"/>
        <v>0.02049893638</v>
      </c>
      <c r="E139" s="2"/>
    </row>
    <row r="140">
      <c r="A140" s="1" t="s">
        <v>2</v>
      </c>
      <c r="B140" s="3">
        <f>IFERROR(__xludf.DUMMYFUNCTION("""COMPUTED_VALUE"""),45839.66666666667)</f>
        <v>45839.66667</v>
      </c>
      <c r="C140" s="4">
        <f>IFERROR(__xludf.DUMMYFUNCTION("""COMPUTED_VALUE"""),54.08)</f>
        <v>54.08</v>
      </c>
      <c r="D140" s="4">
        <f t="shared" si="1"/>
        <v>0.02482471101</v>
      </c>
      <c r="E140" s="2"/>
    </row>
    <row r="141">
      <c r="A141" s="1" t="s">
        <v>2</v>
      </c>
      <c r="B141" s="3">
        <f>IFERROR(__xludf.DUMMYFUNCTION("""COMPUTED_VALUE"""),45840.66666666667)</f>
        <v>45840.66667</v>
      </c>
      <c r="C141" s="4">
        <f>IFERROR(__xludf.DUMMYFUNCTION("""COMPUTED_VALUE"""),55.14)</f>
        <v>55.14</v>
      </c>
      <c r="D141" s="4">
        <f t="shared" si="1"/>
        <v>0.01960059172</v>
      </c>
      <c r="E141" s="2"/>
    </row>
    <row r="142">
      <c r="A142" s="1" t="s">
        <v>2</v>
      </c>
      <c r="B142" s="3">
        <f>IFERROR(__xludf.DUMMYFUNCTION("""COMPUTED_VALUE"""),45841.54513888889)</f>
        <v>45841.54514</v>
      </c>
      <c r="C142" s="4">
        <f>IFERROR(__xludf.DUMMYFUNCTION("""COMPUTED_VALUE"""),54.63)</f>
        <v>54.63</v>
      </c>
      <c r="D142" s="4">
        <f t="shared" si="1"/>
        <v>-0.009249183896</v>
      </c>
      <c r="E142" s="2"/>
    </row>
    <row r="143">
      <c r="A143" s="1" t="s">
        <v>2</v>
      </c>
      <c r="B143" s="3">
        <f>IFERROR(__xludf.DUMMYFUNCTION("""COMPUTED_VALUE"""),45845.66666666667)</f>
        <v>45845.66667</v>
      </c>
      <c r="C143" s="4">
        <f>IFERROR(__xludf.DUMMYFUNCTION("""COMPUTED_VALUE"""),56.76)</f>
        <v>56.76</v>
      </c>
      <c r="D143" s="4">
        <f t="shared" si="1"/>
        <v>0.03898956617</v>
      </c>
      <c r="E143" s="2"/>
    </row>
    <row r="144">
      <c r="A144" s="1" t="s">
        <v>2</v>
      </c>
      <c r="B144" s="3">
        <f>IFERROR(__xludf.DUMMYFUNCTION("""COMPUTED_VALUE"""),45846.66666666667)</f>
        <v>45846.66667</v>
      </c>
      <c r="C144" s="4">
        <f>IFERROR(__xludf.DUMMYFUNCTION("""COMPUTED_VALUE"""),56.77)</f>
        <v>56.77</v>
      </c>
      <c r="D144" s="4">
        <f t="shared" si="1"/>
        <v>0.0001761804087</v>
      </c>
      <c r="E144" s="2"/>
    </row>
    <row r="145">
      <c r="A145" s="1" t="s">
        <v>2</v>
      </c>
      <c r="B145" s="3">
        <f>IFERROR(__xludf.DUMMYFUNCTION("""COMPUTED_VALUE"""),45847.66666666667)</f>
        <v>45847.66667</v>
      </c>
      <c r="C145" s="4">
        <f>IFERROR(__xludf.DUMMYFUNCTION("""COMPUTED_VALUE"""),57.21)</f>
        <v>57.21</v>
      </c>
      <c r="D145" s="4">
        <f t="shared" si="1"/>
        <v>0.007750572485</v>
      </c>
      <c r="E145" s="2"/>
    </row>
    <row r="146">
      <c r="A146" s="1" t="s">
        <v>2</v>
      </c>
      <c r="B146" s="3">
        <f>IFERROR(__xludf.DUMMYFUNCTION("""COMPUTED_VALUE"""),45848.66666666667)</f>
        <v>45848.66667</v>
      </c>
      <c r="C146" s="4">
        <f>IFERROR(__xludf.DUMMYFUNCTION("""COMPUTED_VALUE"""),57.44)</f>
        <v>57.44</v>
      </c>
      <c r="D146" s="4">
        <f t="shared" si="1"/>
        <v>0.004020276175</v>
      </c>
      <c r="E146" s="2"/>
    </row>
    <row r="147">
      <c r="A147" s="1" t="s">
        <v>2</v>
      </c>
      <c r="B147" s="3">
        <f>IFERROR(__xludf.DUMMYFUNCTION("""COMPUTED_VALUE"""),45849.66666666667)</f>
        <v>45849.66667</v>
      </c>
      <c r="C147" s="4">
        <f>IFERROR(__xludf.DUMMYFUNCTION("""COMPUTED_VALUE"""),56.79)</f>
        <v>56.79</v>
      </c>
      <c r="D147" s="4">
        <f t="shared" si="1"/>
        <v>-0.01131615599</v>
      </c>
      <c r="E147" s="2"/>
    </row>
    <row r="148">
      <c r="A148" s="1" t="s">
        <v>2</v>
      </c>
      <c r="B148" s="3">
        <f>IFERROR(__xludf.DUMMYFUNCTION("""COMPUTED_VALUE"""),45852.66666666667)</f>
        <v>45852.66667</v>
      </c>
      <c r="C148" s="4">
        <f>IFERROR(__xludf.DUMMYFUNCTION("""COMPUTED_VALUE"""),58.04)</f>
        <v>58.04</v>
      </c>
      <c r="D148" s="4">
        <f t="shared" si="1"/>
        <v>0.02201091742</v>
      </c>
      <c r="E148" s="2"/>
    </row>
    <row r="149">
      <c r="A149" s="1" t="s">
        <v>2</v>
      </c>
      <c r="B149" s="3">
        <f>IFERROR(__xludf.DUMMYFUNCTION("""COMPUTED_VALUE"""),45853.66666666667)</f>
        <v>45853.66667</v>
      </c>
      <c r="C149" s="4">
        <f>IFERROR(__xludf.DUMMYFUNCTION("""COMPUTED_VALUE"""),56.34)</f>
        <v>56.34</v>
      </c>
      <c r="D149" s="4">
        <f t="shared" si="1"/>
        <v>-0.02929014473</v>
      </c>
      <c r="E149" s="2"/>
    </row>
    <row r="150">
      <c r="A150" s="1" t="s">
        <v>2</v>
      </c>
      <c r="B150" s="3">
        <f>IFERROR(__xludf.DUMMYFUNCTION("""COMPUTED_VALUE"""),45854.66666666667)</f>
        <v>45854.66667</v>
      </c>
      <c r="C150" s="4">
        <f>IFERROR(__xludf.DUMMYFUNCTION("""COMPUTED_VALUE"""),56.04)</f>
        <v>56.04</v>
      </c>
      <c r="D150" s="4">
        <f t="shared" si="1"/>
        <v>-0.005324813632</v>
      </c>
      <c r="E150" s="2"/>
    </row>
    <row r="151">
      <c r="A151" s="1" t="s">
        <v>2</v>
      </c>
      <c r="B151" s="3">
        <f>IFERROR(__xludf.DUMMYFUNCTION("""COMPUTED_VALUE"""),45855.66666666667)</f>
        <v>45855.66667</v>
      </c>
      <c r="C151" s="4">
        <f>IFERROR(__xludf.DUMMYFUNCTION("""COMPUTED_VALUE"""),56.83)</f>
        <v>56.83</v>
      </c>
      <c r="D151" s="4">
        <f t="shared" si="1"/>
        <v>0.01409707352</v>
      </c>
      <c r="E151" s="2"/>
    </row>
    <row r="152">
      <c r="A152" s="1" t="s">
        <v>2</v>
      </c>
      <c r="B152" s="3">
        <f>IFERROR(__xludf.DUMMYFUNCTION("""COMPUTED_VALUE"""),45856.66666666667)</f>
        <v>45856.66667</v>
      </c>
      <c r="C152" s="4">
        <f>IFERROR(__xludf.DUMMYFUNCTION("""COMPUTED_VALUE"""),56.58)</f>
        <v>56.58</v>
      </c>
      <c r="D152" s="4">
        <f t="shared" si="1"/>
        <v>-0.00439908499</v>
      </c>
      <c r="E152" s="2"/>
    </row>
    <row r="153">
      <c r="A153" s="1" t="s">
        <v>2</v>
      </c>
      <c r="B153" s="3">
        <f>IFERROR(__xludf.DUMMYFUNCTION("""COMPUTED_VALUE"""),45859.66666666667)</f>
        <v>45859.66667</v>
      </c>
      <c r="C153" s="4">
        <f>IFERROR(__xludf.DUMMYFUNCTION("""COMPUTED_VALUE"""),57.41)</f>
        <v>57.41</v>
      </c>
      <c r="D153" s="4">
        <f t="shared" si="1"/>
        <v>0.01466949452</v>
      </c>
      <c r="E153" s="2"/>
    </row>
    <row r="154">
      <c r="A154" s="1" t="s">
        <v>2</v>
      </c>
      <c r="B154" s="3">
        <f>IFERROR(__xludf.DUMMYFUNCTION("""COMPUTED_VALUE"""),45860.66666666667)</f>
        <v>45860.66667</v>
      </c>
      <c r="C154" s="4">
        <f>IFERROR(__xludf.DUMMYFUNCTION("""COMPUTED_VALUE"""),58.98)</f>
        <v>58.98</v>
      </c>
      <c r="D154" s="4">
        <f t="shared" si="1"/>
        <v>0.02734715206</v>
      </c>
      <c r="E154" s="2"/>
    </row>
    <row r="155">
      <c r="A155" s="1" t="s">
        <v>2</v>
      </c>
      <c r="B155" s="3">
        <f>IFERROR(__xludf.DUMMYFUNCTION("""COMPUTED_VALUE"""),45861.66666666667)</f>
        <v>45861.66667</v>
      </c>
      <c r="C155" s="4">
        <f>IFERROR(__xludf.DUMMYFUNCTION("""COMPUTED_VALUE"""),59.62)</f>
        <v>59.62</v>
      </c>
      <c r="D155" s="4">
        <f t="shared" si="1"/>
        <v>0.01085113598</v>
      </c>
      <c r="E155" s="2"/>
    </row>
    <row r="156">
      <c r="A156" s="1" t="s">
        <v>2</v>
      </c>
      <c r="B156" s="3">
        <f>IFERROR(__xludf.DUMMYFUNCTION("""COMPUTED_VALUE"""),45862.66666666667)</f>
        <v>45862.66667</v>
      </c>
      <c r="C156" s="4">
        <f>IFERROR(__xludf.DUMMYFUNCTION("""COMPUTED_VALUE"""),59.34)</f>
        <v>59.34</v>
      </c>
      <c r="D156" s="4">
        <f t="shared" si="1"/>
        <v>-0.0046964106</v>
      </c>
      <c r="E156" s="2"/>
    </row>
    <row r="157">
      <c r="A157" s="1" t="s">
        <v>2</v>
      </c>
      <c r="B157" s="3">
        <f>IFERROR(__xludf.DUMMYFUNCTION("""COMPUTED_VALUE"""),45863.66666666667)</f>
        <v>45863.66667</v>
      </c>
      <c r="C157" s="4">
        <f>IFERROR(__xludf.DUMMYFUNCTION("""COMPUTED_VALUE"""),59.33)</f>
        <v>59.33</v>
      </c>
      <c r="D157" s="4">
        <f t="shared" si="1"/>
        <v>-0.000168520391</v>
      </c>
      <c r="E157" s="2"/>
    </row>
    <row r="158">
      <c r="A158" s="1" t="s">
        <v>2</v>
      </c>
      <c r="B158" s="3">
        <f>IFERROR(__xludf.DUMMYFUNCTION("""COMPUTED_VALUE"""),45866.66666666667)</f>
        <v>45866.66667</v>
      </c>
      <c r="C158" s="4">
        <f>IFERROR(__xludf.DUMMYFUNCTION("""COMPUTED_VALUE"""),58.11)</f>
        <v>58.11</v>
      </c>
      <c r="D158" s="4">
        <f t="shared" si="1"/>
        <v>-0.02056295297</v>
      </c>
      <c r="E158" s="2"/>
    </row>
    <row r="159">
      <c r="A159" s="1" t="s">
        <v>2</v>
      </c>
      <c r="B159" s="3">
        <f>IFERROR(__xludf.DUMMYFUNCTION("""COMPUTED_VALUE"""),45867.66666666667)</f>
        <v>45867.66667</v>
      </c>
      <c r="C159" s="4">
        <f>IFERROR(__xludf.DUMMYFUNCTION("""COMPUTED_VALUE"""),58.59)</f>
        <v>58.59</v>
      </c>
      <c r="D159" s="4">
        <f t="shared" si="1"/>
        <v>0.00826019618</v>
      </c>
      <c r="E159" s="2"/>
    </row>
    <row r="160">
      <c r="A160" s="1" t="s">
        <v>2</v>
      </c>
      <c r="B160" s="3">
        <f>IFERROR(__xludf.DUMMYFUNCTION("""COMPUTED_VALUE"""),45868.66666666667)</f>
        <v>45868.66667</v>
      </c>
      <c r="C160" s="4">
        <f>IFERROR(__xludf.DUMMYFUNCTION("""COMPUTED_VALUE"""),57.83)</f>
        <v>57.83</v>
      </c>
      <c r="D160" s="4">
        <f t="shared" si="1"/>
        <v>-0.01297149684</v>
      </c>
      <c r="E160" s="2"/>
    </row>
    <row r="161">
      <c r="A161" s="1" t="s">
        <v>2</v>
      </c>
      <c r="B161" s="3">
        <f>IFERROR(__xludf.DUMMYFUNCTION("""COMPUTED_VALUE"""),45869.66666666667)</f>
        <v>45869.66667</v>
      </c>
      <c r="C161" s="4">
        <f>IFERROR(__xludf.DUMMYFUNCTION("""COMPUTED_VALUE"""),56.95)</f>
        <v>56.95</v>
      </c>
      <c r="D161" s="4">
        <f t="shared" si="1"/>
        <v>-0.01521701539</v>
      </c>
      <c r="E161" s="2"/>
    </row>
    <row r="162">
      <c r="A162" s="1" t="s">
        <v>2</v>
      </c>
      <c r="B162" s="3">
        <f>IFERROR(__xludf.DUMMYFUNCTION("""COMPUTED_VALUE"""),45870.66666666667)</f>
        <v>45870.66667</v>
      </c>
      <c r="C162" s="4">
        <f>IFERROR(__xludf.DUMMYFUNCTION("""COMPUTED_VALUE"""),57.63)</f>
        <v>57.63</v>
      </c>
      <c r="D162" s="4">
        <f t="shared" si="1"/>
        <v>0.01194029851</v>
      </c>
      <c r="E162" s="2"/>
    </row>
    <row r="163">
      <c r="A163" s="1" t="s">
        <v>2</v>
      </c>
      <c r="B163" s="3">
        <f>IFERROR(__xludf.DUMMYFUNCTION("""COMPUTED_VALUE"""),45873.66666666667)</f>
        <v>45873.66667</v>
      </c>
      <c r="C163" s="4">
        <f>IFERROR(__xludf.DUMMYFUNCTION("""COMPUTED_VALUE"""),59.5)</f>
        <v>59.5</v>
      </c>
      <c r="D163" s="4">
        <f t="shared" si="1"/>
        <v>0.03244837758</v>
      </c>
      <c r="E163" s="2"/>
    </row>
    <row r="164">
      <c r="A164" s="1" t="s">
        <v>2</v>
      </c>
      <c r="B164" s="3">
        <f>IFERROR(__xludf.DUMMYFUNCTION("""COMPUTED_VALUE"""),45874.66666666667)</f>
        <v>45874.66667</v>
      </c>
      <c r="C164" s="4">
        <f>IFERROR(__xludf.DUMMYFUNCTION("""COMPUTED_VALUE"""),59.77)</f>
        <v>59.77</v>
      </c>
      <c r="D164" s="4">
        <f t="shared" si="1"/>
        <v>0.004537815126</v>
      </c>
      <c r="E164" s="2"/>
    </row>
    <row r="165">
      <c r="A165" s="1" t="s">
        <v>2</v>
      </c>
      <c r="B165" s="3">
        <f>IFERROR(__xludf.DUMMYFUNCTION("""COMPUTED_VALUE"""),45875.66666666667)</f>
        <v>45875.66667</v>
      </c>
      <c r="C165" s="4">
        <f>IFERROR(__xludf.DUMMYFUNCTION("""COMPUTED_VALUE"""),60.25)</f>
        <v>60.25</v>
      </c>
      <c r="D165" s="4">
        <f t="shared" si="1"/>
        <v>0.008030784675</v>
      </c>
      <c r="E165" s="2"/>
    </row>
    <row r="166">
      <c r="A166" s="1" t="s">
        <v>2</v>
      </c>
      <c r="B166" s="3">
        <f>IFERROR(__xludf.DUMMYFUNCTION("""COMPUTED_VALUE"""),45876.66666666667)</f>
        <v>45876.66667</v>
      </c>
      <c r="C166" s="4">
        <f>IFERROR(__xludf.DUMMYFUNCTION("""COMPUTED_VALUE"""),60.02)</f>
        <v>60.02</v>
      </c>
      <c r="D166" s="4">
        <f t="shared" si="1"/>
        <v>-0.003817427386</v>
      </c>
      <c r="E166" s="2"/>
    </row>
    <row r="167">
      <c r="A167" s="1" t="s">
        <v>2</v>
      </c>
      <c r="B167" s="3">
        <f>IFERROR(__xludf.DUMMYFUNCTION("""COMPUTED_VALUE"""),45877.66666666667)</f>
        <v>45877.66667</v>
      </c>
      <c r="C167" s="4">
        <f>IFERROR(__xludf.DUMMYFUNCTION("""COMPUTED_VALUE"""),59.26)</f>
        <v>59.26</v>
      </c>
      <c r="D167" s="4">
        <f t="shared" si="1"/>
        <v>-0.01266244585</v>
      </c>
      <c r="E167" s="2"/>
    </row>
    <row r="168">
      <c r="A168" s="1" t="s">
        <v>2</v>
      </c>
      <c r="B168" s="3">
        <f>IFERROR(__xludf.DUMMYFUNCTION("""COMPUTED_VALUE"""),45880.66666666667)</f>
        <v>45880.66667</v>
      </c>
      <c r="C168" s="4">
        <f>IFERROR(__xludf.DUMMYFUNCTION("""COMPUTED_VALUE"""),59.53)</f>
        <v>59.53</v>
      </c>
      <c r="D168" s="4">
        <f t="shared" si="1"/>
        <v>0.004556193048</v>
      </c>
      <c r="E168" s="2"/>
    </row>
    <row r="169">
      <c r="A169" s="1" t="s">
        <v>2</v>
      </c>
      <c r="B169" s="3">
        <f>IFERROR(__xludf.DUMMYFUNCTION("""COMPUTED_VALUE"""),45881.66666666667)</f>
        <v>45881.66667</v>
      </c>
      <c r="C169" s="4">
        <f>IFERROR(__xludf.DUMMYFUNCTION("""COMPUTED_VALUE"""),59.3)</f>
        <v>59.3</v>
      </c>
      <c r="D169" s="4">
        <f t="shared" si="1"/>
        <v>-0.003863598186</v>
      </c>
      <c r="E169" s="2"/>
    </row>
    <row r="170">
      <c r="A170" s="1" t="s">
        <v>2</v>
      </c>
      <c r="B170" s="3">
        <f>IFERROR(__xludf.DUMMYFUNCTION("""COMPUTED_VALUE"""),45882.66666666667)</f>
        <v>45882.66667</v>
      </c>
      <c r="C170" s="4">
        <f>IFERROR(__xludf.DUMMYFUNCTION("""COMPUTED_VALUE"""),59.73)</f>
        <v>59.73</v>
      </c>
      <c r="D170" s="4">
        <f t="shared" si="1"/>
        <v>0.007251264755</v>
      </c>
      <c r="E170" s="2"/>
    </row>
    <row r="171">
      <c r="A171" s="1" t="s">
        <v>2</v>
      </c>
      <c r="B171" s="3">
        <f>IFERROR(__xludf.DUMMYFUNCTION("""COMPUTED_VALUE"""),45883.66666666667)</f>
        <v>45883.66667</v>
      </c>
      <c r="C171" s="4">
        <f>IFERROR(__xludf.DUMMYFUNCTION("""COMPUTED_VALUE"""),59.69)</f>
        <v>59.69</v>
      </c>
      <c r="D171" s="4">
        <f t="shared" si="1"/>
        <v>-0.0006696802277</v>
      </c>
      <c r="E171" s="2"/>
    </row>
    <row r="172">
      <c r="A172" s="1" t="s">
        <v>2</v>
      </c>
      <c r="B172" s="3">
        <f>IFERROR(__xludf.DUMMYFUNCTION("""COMPUTED_VALUE"""),45884.66666666667)</f>
        <v>45884.66667</v>
      </c>
      <c r="C172" s="4">
        <f>IFERROR(__xludf.DUMMYFUNCTION("""COMPUTED_VALUE"""),60.49)</f>
        <v>60.49</v>
      </c>
      <c r="D172" s="4">
        <f t="shared" si="1"/>
        <v>0.01340258</v>
      </c>
      <c r="E172" s="2"/>
    </row>
    <row r="173">
      <c r="A173" s="1" t="s">
        <v>2</v>
      </c>
      <c r="B173" s="3">
        <f>IFERROR(__xludf.DUMMYFUNCTION("""COMPUTED_VALUE"""),45887.66666666667)</f>
        <v>45887.66667</v>
      </c>
      <c r="C173" s="4">
        <f>IFERROR(__xludf.DUMMYFUNCTION("""COMPUTED_VALUE"""),61.1)</f>
        <v>61.1</v>
      </c>
      <c r="D173" s="4">
        <f t="shared" si="1"/>
        <v>0.01008431146</v>
      </c>
      <c r="E173" s="2"/>
    </row>
    <row r="174">
      <c r="A174" s="1" t="s">
        <v>2</v>
      </c>
      <c r="B174" s="3">
        <f>IFERROR(__xludf.DUMMYFUNCTION("""COMPUTED_VALUE"""),45888.66666666667)</f>
        <v>45888.66667</v>
      </c>
      <c r="C174" s="4">
        <f>IFERROR(__xludf.DUMMYFUNCTION("""COMPUTED_VALUE"""),62.28)</f>
        <v>62.28</v>
      </c>
      <c r="D174" s="4">
        <f t="shared" si="1"/>
        <v>0.01931260229</v>
      </c>
      <c r="E174" s="2"/>
    </row>
    <row r="175">
      <c r="A175" s="1" t="s">
        <v>2</v>
      </c>
      <c r="B175" s="3">
        <f>IFERROR(__xludf.DUMMYFUNCTION("""COMPUTED_VALUE"""),45889.66666666667)</f>
        <v>45889.66667</v>
      </c>
      <c r="C175" s="4">
        <f>IFERROR(__xludf.DUMMYFUNCTION("""COMPUTED_VALUE"""),61.03)</f>
        <v>61.03</v>
      </c>
      <c r="D175" s="4">
        <f t="shared" si="1"/>
        <v>-0.02007064868</v>
      </c>
      <c r="E175" s="2"/>
    </row>
    <row r="176">
      <c r="A176" s="1" t="s">
        <v>2</v>
      </c>
      <c r="B176" s="3">
        <f>IFERROR(__xludf.DUMMYFUNCTION("""COMPUTED_VALUE"""),45890.66666666667)</f>
        <v>45890.66667</v>
      </c>
      <c r="C176" s="4">
        <f>IFERROR(__xludf.DUMMYFUNCTION("""COMPUTED_VALUE"""),61.0)</f>
        <v>61</v>
      </c>
      <c r="D176" s="4">
        <f t="shared" si="1"/>
        <v>-0.0004915615271</v>
      </c>
      <c r="E176" s="2"/>
    </row>
    <row r="177">
      <c r="A177" s="1" t="s">
        <v>2</v>
      </c>
      <c r="B177" s="3">
        <f>IFERROR(__xludf.DUMMYFUNCTION("""COMPUTED_VALUE"""),45891.66666666667)</f>
        <v>45891.66667</v>
      </c>
      <c r="C177" s="4">
        <f>IFERROR(__xludf.DUMMYFUNCTION("""COMPUTED_VALUE"""),61.61)</f>
        <v>61.61</v>
      </c>
      <c r="D177" s="4">
        <f t="shared" si="1"/>
        <v>0.01</v>
      </c>
      <c r="E177" s="2"/>
    </row>
    <row r="178">
      <c r="A178" s="1" t="s">
        <v>2</v>
      </c>
      <c r="B178" s="3">
        <f>IFERROR(__xludf.DUMMYFUNCTION("""COMPUTED_VALUE"""),45894.66666666667)</f>
        <v>45894.66667</v>
      </c>
      <c r="C178" s="4">
        <f>IFERROR(__xludf.DUMMYFUNCTION("""COMPUTED_VALUE"""),61.52)</f>
        <v>61.52</v>
      </c>
      <c r="D178" s="4">
        <f t="shared" si="1"/>
        <v>-0.001460801818</v>
      </c>
      <c r="E178" s="2"/>
    </row>
    <row r="179">
      <c r="A179" s="1" t="s">
        <v>2</v>
      </c>
      <c r="B179" s="3">
        <f>IFERROR(__xludf.DUMMYFUNCTION("""COMPUTED_VALUE"""),45895.66666666667)</f>
        <v>45895.66667</v>
      </c>
      <c r="C179" s="4">
        <f>IFERROR(__xludf.DUMMYFUNCTION("""COMPUTED_VALUE"""),61.69)</f>
        <v>61.69</v>
      </c>
      <c r="D179" s="4">
        <f t="shared" si="1"/>
        <v>0.002763328999</v>
      </c>
      <c r="E179" s="2"/>
    </row>
    <row r="180">
      <c r="A180" s="1" t="s">
        <v>2</v>
      </c>
      <c r="B180" s="3">
        <f>IFERROR(__xludf.DUMMYFUNCTION("""COMPUTED_VALUE"""),45896.66666666667)</f>
        <v>45896.66667</v>
      </c>
      <c r="C180" s="4">
        <f>IFERROR(__xludf.DUMMYFUNCTION("""COMPUTED_VALUE"""),62.38)</f>
        <v>62.38</v>
      </c>
      <c r="D180" s="4">
        <f t="shared" si="1"/>
        <v>0.01118495704</v>
      </c>
      <c r="E180" s="2"/>
    </row>
    <row r="181">
      <c r="A181" s="1" t="s">
        <v>2</v>
      </c>
      <c r="B181" s="3">
        <f>IFERROR(__xludf.DUMMYFUNCTION("""COMPUTED_VALUE"""),45897.66666666667)</f>
        <v>45897.66667</v>
      </c>
      <c r="C181" s="4">
        <f>IFERROR(__xludf.DUMMYFUNCTION("""COMPUTED_VALUE"""),62.65)</f>
        <v>62.65</v>
      </c>
      <c r="D181" s="4">
        <f t="shared" si="1"/>
        <v>0.004328310356</v>
      </c>
      <c r="E181" s="2"/>
    </row>
    <row r="182">
      <c r="A182" s="1" t="s">
        <v>2</v>
      </c>
      <c r="B182" s="3">
        <f>IFERROR(__xludf.DUMMYFUNCTION("""COMPUTED_VALUE"""),45898.66666666667)</f>
        <v>45898.66667</v>
      </c>
      <c r="C182" s="4">
        <f>IFERROR(__xludf.DUMMYFUNCTION("""COMPUTED_VALUE"""),61.76)</f>
        <v>61.76</v>
      </c>
      <c r="D182" s="4">
        <f t="shared" si="1"/>
        <v>-0.01420590583</v>
      </c>
      <c r="E182" s="2"/>
    </row>
    <row r="183">
      <c r="A183" s="1" t="s">
        <v>2</v>
      </c>
      <c r="B183" s="3">
        <f>IFERROR(__xludf.DUMMYFUNCTION("""COMPUTED_VALUE"""),45902.66666666667)</f>
        <v>45902.66667</v>
      </c>
      <c r="C183" s="4">
        <f>IFERROR(__xludf.DUMMYFUNCTION("""COMPUTED_VALUE"""),61.52)</f>
        <v>61.52</v>
      </c>
      <c r="D183" s="4">
        <f t="shared" si="1"/>
        <v>-0.003886010363</v>
      </c>
      <c r="E183" s="2"/>
    </row>
    <row r="184">
      <c r="A184" s="1" t="s">
        <v>2</v>
      </c>
      <c r="B184" s="3">
        <f>IFERROR(__xludf.DUMMYFUNCTION("""COMPUTED_VALUE"""),45903.66666666667)</f>
        <v>45903.66667</v>
      </c>
      <c r="C184" s="4">
        <f>IFERROR(__xludf.DUMMYFUNCTION("""COMPUTED_VALUE"""),60.14)</f>
        <v>60.14</v>
      </c>
      <c r="D184" s="4">
        <f t="shared" si="1"/>
        <v>-0.02243172952</v>
      </c>
      <c r="E184" s="2"/>
    </row>
    <row r="185">
      <c r="A185" s="1" t="s">
        <v>2</v>
      </c>
      <c r="B185" s="3">
        <f>IFERROR(__xludf.DUMMYFUNCTION("""COMPUTED_VALUE"""),45904.66666666667)</f>
        <v>45904.66667</v>
      </c>
      <c r="C185" s="4">
        <f>IFERROR(__xludf.DUMMYFUNCTION("""COMPUTED_VALUE"""),60.64)</f>
        <v>60.64</v>
      </c>
      <c r="D185" s="4">
        <f t="shared" si="1"/>
        <v>0.008313934154</v>
      </c>
      <c r="E185" s="2"/>
    </row>
    <row r="186">
      <c r="A186" s="1" t="s">
        <v>2</v>
      </c>
      <c r="B186" s="3">
        <f>IFERROR(__xludf.DUMMYFUNCTION("""COMPUTED_VALUE"""),45905.66666666667)</f>
        <v>45905.66667</v>
      </c>
      <c r="C186" s="4">
        <f>IFERROR(__xludf.DUMMYFUNCTION("""COMPUTED_VALUE"""),60.52)</f>
        <v>60.52</v>
      </c>
      <c r="D186" s="4">
        <f t="shared" si="1"/>
        <v>-0.001978891821</v>
      </c>
      <c r="E186" s="2"/>
    </row>
    <row r="187">
      <c r="A187" s="1" t="s">
        <v>2</v>
      </c>
      <c r="B187" s="3">
        <f>IFERROR(__xludf.DUMMYFUNCTION("""COMPUTED_VALUE"""),45908.66666666667)</f>
        <v>45908.66667</v>
      </c>
      <c r="C187" s="4">
        <f>IFERROR(__xludf.DUMMYFUNCTION("""COMPUTED_VALUE"""),60.09)</f>
        <v>60.09</v>
      </c>
      <c r="D187" s="4">
        <f t="shared" si="1"/>
        <v>-0.007105089227</v>
      </c>
      <c r="E187" s="2"/>
    </row>
    <row r="188">
      <c r="A188" s="1" t="s">
        <v>2</v>
      </c>
      <c r="B188" s="3">
        <f>IFERROR(__xludf.DUMMYFUNCTION("""COMPUTED_VALUE"""),45909.66666666667)</f>
        <v>45909.66667</v>
      </c>
      <c r="C188" s="4">
        <f>IFERROR(__xludf.DUMMYFUNCTION("""COMPUTED_VALUE"""),59.08)</f>
        <v>59.08</v>
      </c>
      <c r="D188" s="4">
        <f t="shared" si="1"/>
        <v>-0.01680812115</v>
      </c>
      <c r="E188" s="2"/>
    </row>
    <row r="189">
      <c r="A189" s="1" t="s">
        <v>2</v>
      </c>
      <c r="B189" s="3">
        <f>IFERROR(__xludf.DUMMYFUNCTION("""COMPUTED_VALUE"""),45910.66666666667)</f>
        <v>45910.66667</v>
      </c>
      <c r="C189" s="4">
        <f>IFERROR(__xludf.DUMMYFUNCTION("""COMPUTED_VALUE"""),58.45)</f>
        <v>58.45</v>
      </c>
      <c r="D189" s="4">
        <f t="shared" si="1"/>
        <v>-0.01066350711</v>
      </c>
      <c r="E189" s="2"/>
    </row>
    <row r="190">
      <c r="A190" s="1" t="s">
        <v>2</v>
      </c>
      <c r="B190" s="3">
        <f>IFERROR(__xludf.DUMMYFUNCTION("""COMPUTED_VALUE"""),45911.66666666667)</f>
        <v>45911.66667</v>
      </c>
      <c r="C190" s="4">
        <f>IFERROR(__xludf.DUMMYFUNCTION("""COMPUTED_VALUE"""),60.02)</f>
        <v>60.02</v>
      </c>
      <c r="D190" s="4">
        <f t="shared" si="1"/>
        <v>0.02686056459</v>
      </c>
      <c r="E190" s="2"/>
    </row>
    <row r="191">
      <c r="A191" s="1" t="s">
        <v>2</v>
      </c>
      <c r="B191" s="3">
        <f>IFERROR(__xludf.DUMMYFUNCTION("""COMPUTED_VALUE"""),45912.66666666667)</f>
        <v>45912.66667</v>
      </c>
      <c r="C191" s="4">
        <f>IFERROR(__xludf.DUMMYFUNCTION("""COMPUTED_VALUE"""),60.61)</f>
        <v>60.61</v>
      </c>
      <c r="D191" s="4">
        <f t="shared" si="1"/>
        <v>0.009830056648</v>
      </c>
      <c r="E191" s="2"/>
    </row>
    <row r="192">
      <c r="A192" s="1" t="s">
        <v>2</v>
      </c>
      <c r="B192" s="3">
        <f>IFERROR(__xludf.DUMMYFUNCTION("""COMPUTED_VALUE"""),45915.66666666667)</f>
        <v>45915.66667</v>
      </c>
      <c r="C192" s="4">
        <f>IFERROR(__xludf.DUMMYFUNCTION("""COMPUTED_VALUE"""),59.61)</f>
        <v>59.61</v>
      </c>
      <c r="D192" s="4">
        <f t="shared" si="1"/>
        <v>-0.01649892757</v>
      </c>
      <c r="E192" s="2"/>
    </row>
    <row r="193">
      <c r="A193" s="1" t="s">
        <v>2</v>
      </c>
      <c r="B193" s="3">
        <f>IFERROR(__xludf.DUMMYFUNCTION("""COMPUTED_VALUE"""),45916.66666666667)</f>
        <v>45916.66667</v>
      </c>
      <c r="C193" s="4">
        <f>IFERROR(__xludf.DUMMYFUNCTION("""COMPUTED_VALUE"""),58.99)</f>
        <v>58.99</v>
      </c>
      <c r="D193" s="4">
        <f t="shared" si="1"/>
        <v>-0.01040093944</v>
      </c>
      <c r="E193" s="2"/>
    </row>
    <row r="194">
      <c r="A194" s="1" t="s">
        <v>2</v>
      </c>
      <c r="B194" s="3">
        <f>IFERROR(__xludf.DUMMYFUNCTION("""COMPUTED_VALUE"""),45917.66666666667)</f>
        <v>45917.66667</v>
      </c>
      <c r="C194" s="4">
        <f>IFERROR(__xludf.DUMMYFUNCTION("""COMPUTED_VALUE"""),59.1)</f>
        <v>59.1</v>
      </c>
      <c r="D194" s="4">
        <f t="shared" si="1"/>
        <v>0.001864722834</v>
      </c>
      <c r="E194" s="2"/>
    </row>
    <row r="195">
      <c r="A195" s="1" t="s">
        <v>2</v>
      </c>
      <c r="B195" s="3">
        <f>IFERROR(__xludf.DUMMYFUNCTION("""COMPUTED_VALUE"""),45918.66666666667)</f>
        <v>45918.66667</v>
      </c>
      <c r="C195" s="4">
        <f>IFERROR(__xludf.DUMMYFUNCTION("""COMPUTED_VALUE"""),59.87)</f>
        <v>59.87</v>
      </c>
      <c r="D195" s="4">
        <f t="shared" si="1"/>
        <v>0.01302876481</v>
      </c>
      <c r="E195" s="2"/>
    </row>
    <row r="196">
      <c r="A196" s="1" t="s">
        <v>2</v>
      </c>
      <c r="B196" s="3">
        <f>IFERROR(__xludf.DUMMYFUNCTION("""COMPUTED_VALUE"""),45919.66666666667)</f>
        <v>45919.66667</v>
      </c>
      <c r="C196" s="4">
        <f>IFERROR(__xludf.DUMMYFUNCTION("""COMPUTED_VALUE"""),59.66)</f>
        <v>59.66</v>
      </c>
      <c r="D196" s="4">
        <f t="shared" si="1"/>
        <v>-0.0035075998</v>
      </c>
      <c r="E196" s="2"/>
    </row>
    <row r="197">
      <c r="A197" s="1" t="s">
        <v>2</v>
      </c>
      <c r="B197" s="3">
        <f>IFERROR(__xludf.DUMMYFUNCTION("""COMPUTED_VALUE"""),45922.66666666667)</f>
        <v>45922.66667</v>
      </c>
      <c r="C197" s="4">
        <f>IFERROR(__xludf.DUMMYFUNCTION("""COMPUTED_VALUE"""),58.14)</f>
        <v>58.14</v>
      </c>
      <c r="D197" s="4">
        <f t="shared" si="1"/>
        <v>-0.02547770701</v>
      </c>
      <c r="E197" s="2"/>
    </row>
    <row r="198">
      <c r="A198" s="1" t="s">
        <v>2</v>
      </c>
      <c r="B198" s="3">
        <f>IFERROR(__xludf.DUMMYFUNCTION("""COMPUTED_VALUE"""),45923.66666666667)</f>
        <v>45923.66667</v>
      </c>
      <c r="C198" s="4">
        <f>IFERROR(__xludf.DUMMYFUNCTION("""COMPUTED_VALUE"""),58.56)</f>
        <v>58.56</v>
      </c>
      <c r="D198" s="4">
        <f t="shared" si="1"/>
        <v>0.007223942208</v>
      </c>
      <c r="E198" s="2"/>
    </row>
    <row r="199">
      <c r="A199" s="1" t="s">
        <v>2</v>
      </c>
      <c r="B199" s="3">
        <f>IFERROR(__xludf.DUMMYFUNCTION("""COMPUTED_VALUE"""),45924.66666666667)</f>
        <v>45924.66667</v>
      </c>
      <c r="C199" s="4">
        <f>IFERROR(__xludf.DUMMYFUNCTION("""COMPUTED_VALUE"""),57.35)</f>
        <v>57.35</v>
      </c>
      <c r="D199" s="4">
        <f t="shared" si="1"/>
        <v>-0.02066256831</v>
      </c>
      <c r="E199" s="2"/>
    </row>
    <row r="200">
      <c r="A200" s="1" t="s">
        <v>2</v>
      </c>
      <c r="B200" s="3">
        <f>IFERROR(__xludf.DUMMYFUNCTION("""COMPUTED_VALUE"""),45925.66666666667)</f>
        <v>45925.66667</v>
      </c>
      <c r="C200" s="4">
        <f>IFERROR(__xludf.DUMMYFUNCTION("""COMPUTED_VALUE"""),56.42)</f>
        <v>56.42</v>
      </c>
      <c r="D200" s="4">
        <f t="shared" si="1"/>
        <v>-0.01621621622</v>
      </c>
      <c r="E200" s="2"/>
    </row>
    <row r="201">
      <c r="A201" s="1" t="s">
        <v>2</v>
      </c>
      <c r="B201" s="3">
        <f>IFERROR(__xludf.DUMMYFUNCTION("""COMPUTED_VALUE"""),45926.66666666667)</f>
        <v>45926.66667</v>
      </c>
      <c r="C201" s="4">
        <f>IFERROR(__xludf.DUMMYFUNCTION("""COMPUTED_VALUE"""),56.52)</f>
        <v>56.52</v>
      </c>
      <c r="D201" s="4">
        <f t="shared" si="1"/>
        <v>0.001772421127</v>
      </c>
      <c r="E201" s="2"/>
    </row>
    <row r="202">
      <c r="A202" s="1" t="s">
        <v>2</v>
      </c>
      <c r="B202" s="3">
        <f>IFERROR(__xludf.DUMMYFUNCTION("""COMPUTED_VALUE"""),45929.66666666667)</f>
        <v>45929.66667</v>
      </c>
      <c r="C202" s="4">
        <f>IFERROR(__xludf.DUMMYFUNCTION("""COMPUTED_VALUE"""),56.69)</f>
        <v>56.69</v>
      </c>
      <c r="D202" s="4">
        <f t="shared" si="1"/>
        <v>0.003007784855</v>
      </c>
      <c r="E202" s="2"/>
    </row>
    <row r="203">
      <c r="A203" s="1" t="s">
        <v>2</v>
      </c>
      <c r="B203" s="3">
        <f>IFERROR(__xludf.DUMMYFUNCTION("""COMPUTED_VALUE"""),45930.66666666667)</f>
        <v>45930.66667</v>
      </c>
      <c r="C203" s="4">
        <f>IFERROR(__xludf.DUMMYFUNCTION("""COMPUTED_VALUE"""),56.87)</f>
        <v>56.87</v>
      </c>
      <c r="D203" s="4">
        <f t="shared" si="1"/>
        <v>0.003175163168</v>
      </c>
      <c r="E203" s="2"/>
    </row>
    <row r="204">
      <c r="A204" s="1" t="s">
        <v>2</v>
      </c>
      <c r="B204" s="3">
        <f>IFERROR(__xludf.DUMMYFUNCTION("""COMPUTED_VALUE"""),45931.66666666667)</f>
        <v>45931.66667</v>
      </c>
      <c r="C204" s="4">
        <f>IFERROR(__xludf.DUMMYFUNCTION("""COMPUTED_VALUE"""),55.92)</f>
        <v>55.92</v>
      </c>
      <c r="D204" s="4">
        <f t="shared" si="1"/>
        <v>-0.01670476525</v>
      </c>
      <c r="E204" s="2"/>
    </row>
    <row r="205">
      <c r="A205" s="1" t="s">
        <v>2</v>
      </c>
      <c r="B205" s="3">
        <f>IFERROR(__xludf.DUMMYFUNCTION("""COMPUTED_VALUE"""),45932.66666666667)</f>
        <v>45932.66667</v>
      </c>
      <c r="C205" s="4">
        <f>IFERROR(__xludf.DUMMYFUNCTION("""COMPUTED_VALUE"""),56.23)</f>
        <v>56.23</v>
      </c>
      <c r="D205" s="4">
        <f t="shared" si="1"/>
        <v>0.005543633763</v>
      </c>
      <c r="E205" s="2"/>
    </row>
    <row r="206">
      <c r="A206" s="1" t="s">
        <v>2</v>
      </c>
      <c r="B206" s="3">
        <f>IFERROR(__xludf.DUMMYFUNCTION("""COMPUTED_VALUE"""),45933.66666666667)</f>
        <v>45933.66667</v>
      </c>
      <c r="C206" s="4">
        <f>IFERROR(__xludf.DUMMYFUNCTION("""COMPUTED_VALUE"""),55.83)</f>
        <v>55.83</v>
      </c>
      <c r="D206" s="4">
        <f t="shared" si="1"/>
        <v>-0.007113640405</v>
      </c>
      <c r="E206" s="2"/>
    </row>
    <row r="207">
      <c r="A207" s="1" t="s">
        <v>2</v>
      </c>
      <c r="B207" s="3">
        <f>IFERROR(__xludf.DUMMYFUNCTION("""COMPUTED_VALUE"""),45936.66666666667)</f>
        <v>45936.66667</v>
      </c>
      <c r="C207" s="4">
        <f>IFERROR(__xludf.DUMMYFUNCTION("""COMPUTED_VALUE"""),54.69)</f>
        <v>54.69</v>
      </c>
      <c r="D207" s="4">
        <f t="shared" si="1"/>
        <v>-0.0204191295</v>
      </c>
      <c r="E207" s="2"/>
    </row>
    <row r="208">
      <c r="A208" s="1" t="s">
        <v>2</v>
      </c>
      <c r="B208" s="3">
        <f>IFERROR(__xludf.DUMMYFUNCTION("""COMPUTED_VALUE"""),45937.66666666667)</f>
        <v>45937.66667</v>
      </c>
      <c r="C208" s="4">
        <f>IFERROR(__xludf.DUMMYFUNCTION("""COMPUTED_VALUE"""),53.71)</f>
        <v>53.71</v>
      </c>
      <c r="D208" s="4">
        <f t="shared" si="1"/>
        <v>-0.01791918084</v>
      </c>
      <c r="E208" s="2"/>
    </row>
    <row r="209">
      <c r="A209" s="1" t="s">
        <v>2</v>
      </c>
      <c r="B209" s="3">
        <f>IFERROR(__xludf.DUMMYFUNCTION("""COMPUTED_VALUE"""),45938.66666666667)</f>
        <v>45938.66667</v>
      </c>
      <c r="C209" s="4">
        <f>IFERROR(__xludf.DUMMYFUNCTION("""COMPUTED_VALUE"""),53.92)</f>
        <v>53.92</v>
      </c>
      <c r="D209" s="4">
        <f t="shared" si="1"/>
        <v>0.003909886427</v>
      </c>
      <c r="E209" s="2"/>
    </row>
    <row r="210">
      <c r="A210" s="1" t="s">
        <v>2</v>
      </c>
      <c r="B210" s="3">
        <f>IFERROR(__xludf.DUMMYFUNCTION("""COMPUTED_VALUE"""),45939.66666666667)</f>
        <v>45939.66667</v>
      </c>
      <c r="C210" s="4">
        <f>IFERROR(__xludf.DUMMYFUNCTION("""COMPUTED_VALUE"""),54.22)</f>
        <v>54.22</v>
      </c>
      <c r="D210" s="4">
        <f t="shared" si="1"/>
        <v>0.00556379822</v>
      </c>
      <c r="E210" s="2"/>
    </row>
    <row r="211">
      <c r="A211" s="1" t="s">
        <v>2</v>
      </c>
      <c r="B211" s="3">
        <f>IFERROR(__xludf.DUMMYFUNCTION("""COMPUTED_VALUE"""),45940.66666666667)</f>
        <v>45940.66667</v>
      </c>
      <c r="C211" s="4">
        <f>IFERROR(__xludf.DUMMYFUNCTION("""COMPUTED_VALUE"""),54.24)</f>
        <v>54.24</v>
      </c>
      <c r="D211" s="4">
        <f t="shared" si="1"/>
        <v>0.0003688675765</v>
      </c>
      <c r="E211" s="2"/>
    </row>
    <row r="212">
      <c r="A212" s="1" t="s">
        <v>2</v>
      </c>
      <c r="B212" s="3">
        <f>IFERROR(__xludf.DUMMYFUNCTION("""COMPUTED_VALUE"""),45943.66666666667)</f>
        <v>45943.66667</v>
      </c>
      <c r="C212" s="4">
        <f>IFERROR(__xludf.DUMMYFUNCTION("""COMPUTED_VALUE"""),54.91)</f>
        <v>54.91</v>
      </c>
      <c r="D212" s="4">
        <f t="shared" si="1"/>
        <v>0.01235250737</v>
      </c>
      <c r="E212" s="2"/>
    </row>
    <row r="213">
      <c r="A213" s="1" t="s">
        <v>2</v>
      </c>
      <c r="B213" s="3">
        <f>IFERROR(__xludf.DUMMYFUNCTION("""COMPUTED_VALUE"""),45944.66666666667)</f>
        <v>45944.66667</v>
      </c>
      <c r="C213" s="4">
        <f>IFERROR(__xludf.DUMMYFUNCTION("""COMPUTED_VALUE"""),55.48)</f>
        <v>55.48</v>
      </c>
      <c r="D213" s="4">
        <f t="shared" si="1"/>
        <v>0.01038062284</v>
      </c>
      <c r="E213" s="2"/>
    </row>
    <row r="214">
      <c r="A214" s="1" t="s">
        <v>2</v>
      </c>
      <c r="B214" s="3">
        <f>IFERROR(__xludf.DUMMYFUNCTION("""COMPUTED_VALUE"""),45945.66666666667)</f>
        <v>45945.66667</v>
      </c>
      <c r="C214" s="4">
        <f>IFERROR(__xludf.DUMMYFUNCTION("""COMPUTED_VALUE"""),55.81)</f>
        <v>55.81</v>
      </c>
      <c r="D214" s="4">
        <f t="shared" si="1"/>
        <v>0.005948089402</v>
      </c>
      <c r="E214" s="2"/>
    </row>
    <row r="215">
      <c r="A215" s="1" t="s">
        <v>2</v>
      </c>
      <c r="B215" s="3">
        <f>IFERROR(__xludf.DUMMYFUNCTION("""COMPUTED_VALUE"""),45946.66666666667)</f>
        <v>45946.66667</v>
      </c>
      <c r="C215" s="4">
        <f>IFERROR(__xludf.DUMMYFUNCTION("""COMPUTED_VALUE"""),55.16)</f>
        <v>55.16</v>
      </c>
      <c r="D215" s="4">
        <f t="shared" si="1"/>
        <v>-0.0116466583</v>
      </c>
      <c r="E215" s="2"/>
    </row>
    <row r="216">
      <c r="A216" s="1" t="s">
        <v>2</v>
      </c>
      <c r="B216" s="3">
        <f>IFERROR(__xludf.DUMMYFUNCTION("""COMPUTED_VALUE"""),45947.66666666667)</f>
        <v>45947.66667</v>
      </c>
      <c r="C216" s="4">
        <f>IFERROR(__xludf.DUMMYFUNCTION("""COMPUTED_VALUE"""),55.2)</f>
        <v>55.2</v>
      </c>
      <c r="D216" s="4">
        <f t="shared" si="1"/>
        <v>0.0007251631617</v>
      </c>
      <c r="E216" s="2"/>
    </row>
    <row r="217">
      <c r="A217" s="1" t="s">
        <v>2</v>
      </c>
      <c r="B217" s="3">
        <f>IFERROR(__xludf.DUMMYFUNCTION("""COMPUTED_VALUE"""),45950.66666666667)</f>
        <v>45950.66667</v>
      </c>
      <c r="C217" s="4">
        <f>IFERROR(__xludf.DUMMYFUNCTION("""COMPUTED_VALUE"""),55.29)</f>
        <v>55.29</v>
      </c>
      <c r="D217" s="4">
        <f t="shared" si="1"/>
        <v>0.001630434783</v>
      </c>
      <c r="E217" s="2"/>
    </row>
    <row r="218">
      <c r="A218" s="1" t="s">
        <v>2</v>
      </c>
      <c r="B218" s="3">
        <f>IFERROR(__xludf.DUMMYFUNCTION("""COMPUTED_VALUE"""),45951.66666666667)</f>
        <v>45951.66667</v>
      </c>
      <c r="C218" s="4">
        <f>IFERROR(__xludf.DUMMYFUNCTION("""COMPUTED_VALUE"""),54.77)</f>
        <v>54.77</v>
      </c>
      <c r="D218" s="4">
        <f t="shared" si="1"/>
        <v>-0.009404955688</v>
      </c>
      <c r="E218" s="2"/>
    </row>
    <row r="219">
      <c r="A219" s="1" t="s">
        <v>2</v>
      </c>
      <c r="B219" s="3">
        <f>IFERROR(__xludf.DUMMYFUNCTION("""COMPUTED_VALUE"""),45952.66666666667)</f>
        <v>45952.66667</v>
      </c>
      <c r="C219" s="4">
        <f>IFERROR(__xludf.DUMMYFUNCTION("""COMPUTED_VALUE"""),54.83)</f>
        <v>54.83</v>
      </c>
      <c r="D219" s="4">
        <f t="shared" si="1"/>
        <v>0.001095490232</v>
      </c>
      <c r="E219" s="2"/>
    </row>
    <row r="220">
      <c r="A220" s="1" t="s">
        <v>2</v>
      </c>
      <c r="B220" s="3">
        <f>IFERROR(__xludf.DUMMYFUNCTION("""COMPUTED_VALUE"""),45953.66666666667)</f>
        <v>45953.66667</v>
      </c>
      <c r="C220" s="4">
        <f>IFERROR(__xludf.DUMMYFUNCTION("""COMPUTED_VALUE"""),56.35)</f>
        <v>56.35</v>
      </c>
      <c r="D220" s="4">
        <f t="shared" si="1"/>
        <v>0.02772204997</v>
      </c>
      <c r="E220" s="2"/>
    </row>
    <row r="221">
      <c r="A221" s="1" t="s">
        <v>2</v>
      </c>
      <c r="B221" s="3">
        <f>IFERROR(__xludf.DUMMYFUNCTION("""COMPUTED_VALUE"""),45954.66666666667)</f>
        <v>45954.66667</v>
      </c>
      <c r="C221" s="4">
        <f>IFERROR(__xludf.DUMMYFUNCTION("""COMPUTED_VALUE"""),56.28)</f>
        <v>56.28</v>
      </c>
      <c r="D221" s="4">
        <f t="shared" si="1"/>
        <v>-0.001242236025</v>
      </c>
      <c r="E221" s="2"/>
    </row>
    <row r="222">
      <c r="A222" s="1" t="s">
        <v>2</v>
      </c>
      <c r="B222" s="3">
        <f>IFERROR(__xludf.DUMMYFUNCTION("""COMPUTED_VALUE"""),45957.66666666667)</f>
        <v>45957.66667</v>
      </c>
      <c r="C222" s="4">
        <f>IFERROR(__xludf.DUMMYFUNCTION("""COMPUTED_VALUE"""),56.37)</f>
        <v>56.37</v>
      </c>
      <c r="D222" s="4">
        <f t="shared" si="1"/>
        <v>0.001599147122</v>
      </c>
      <c r="E222" s="2"/>
    </row>
    <row r="223">
      <c r="A223" s="1" t="s">
        <v>2</v>
      </c>
      <c r="B223" s="3">
        <f>IFERROR(__xludf.DUMMYFUNCTION("""COMPUTED_VALUE"""),45958.66666666667)</f>
        <v>45958.66667</v>
      </c>
      <c r="C223" s="4">
        <f>IFERROR(__xludf.DUMMYFUNCTION("""COMPUTED_VALUE"""),55.49)</f>
        <v>55.49</v>
      </c>
      <c r="D223" s="4">
        <f t="shared" si="1"/>
        <v>-0.01561114068</v>
      </c>
      <c r="E223" s="2"/>
    </row>
    <row r="224">
      <c r="A224" s="1" t="s">
        <v>2</v>
      </c>
      <c r="B224" s="3">
        <f>IFERROR(__xludf.DUMMYFUNCTION("""COMPUTED_VALUE"""),45959.66666666667)</f>
        <v>45959.66667</v>
      </c>
      <c r="C224" s="4">
        <f>IFERROR(__xludf.DUMMYFUNCTION("""COMPUTED_VALUE"""),54.24)</f>
        <v>54.24</v>
      </c>
      <c r="D224" s="4">
        <f t="shared" si="1"/>
        <v>-0.02252658137</v>
      </c>
      <c r="E224" s="2"/>
    </row>
    <row r="225">
      <c r="A225" s="1" t="s">
        <v>2</v>
      </c>
      <c r="B225" s="3">
        <f>IFERROR(__xludf.DUMMYFUNCTION("""COMPUTED_VALUE"""),45960.66666666667)</f>
        <v>45960.66667</v>
      </c>
      <c r="C225" s="4">
        <f>IFERROR(__xludf.DUMMYFUNCTION("""COMPUTED_VALUE"""),54.12)</f>
        <v>54.12</v>
      </c>
      <c r="D225" s="4">
        <f t="shared" si="1"/>
        <v>-0.002212389381</v>
      </c>
      <c r="E225" s="2"/>
    </row>
    <row r="226">
      <c r="A226" s="1" t="s">
        <v>2</v>
      </c>
      <c r="B226" s="3">
        <f>IFERROR(__xludf.DUMMYFUNCTION("""COMPUTED_VALUE"""),45961.66666666667)</f>
        <v>45961.66667</v>
      </c>
      <c r="C226" s="4">
        <f>IFERROR(__xludf.DUMMYFUNCTION("""COMPUTED_VALUE"""),54.11)</f>
        <v>54.11</v>
      </c>
      <c r="D226" s="4">
        <f t="shared" si="1"/>
        <v>-0.000184774575</v>
      </c>
      <c r="E226" s="2"/>
    </row>
    <row r="227">
      <c r="A227" s="1" t="s">
        <v>2</v>
      </c>
      <c r="B227" s="3">
        <f>IFERROR(__xludf.DUMMYFUNCTION("""COMPUTED_VALUE"""),45964.66666666667)</f>
        <v>45964.66667</v>
      </c>
      <c r="C227" s="4">
        <f>IFERROR(__xludf.DUMMYFUNCTION("""COMPUTED_VALUE"""),52.49)</f>
        <v>52.49</v>
      </c>
      <c r="D227" s="4">
        <f t="shared" si="1"/>
        <v>-0.02993901312</v>
      </c>
      <c r="E227" s="2"/>
    </row>
    <row r="228">
      <c r="A228" s="1" t="s">
        <v>2</v>
      </c>
      <c r="B228" s="3">
        <f>IFERROR(__xludf.DUMMYFUNCTION("""COMPUTED_VALUE"""),45965.66666666667)</f>
        <v>45965.66667</v>
      </c>
      <c r="C228" s="4">
        <f>IFERROR(__xludf.DUMMYFUNCTION("""COMPUTED_VALUE"""),53.05)</f>
        <v>53.05</v>
      </c>
      <c r="D228" s="4">
        <f t="shared" si="1"/>
        <v>0.0106686988</v>
      </c>
      <c r="E228" s="2"/>
    </row>
    <row r="229">
      <c r="A229" s="1" t="s">
        <v>2</v>
      </c>
      <c r="B229" s="3">
        <f>IFERROR(__xludf.DUMMYFUNCTION("""COMPUTED_VALUE"""),45966.66666666667)</f>
        <v>45966.66667</v>
      </c>
      <c r="C229" s="4">
        <f>IFERROR(__xludf.DUMMYFUNCTION("""COMPUTED_VALUE"""),53.92)</f>
        <v>53.92</v>
      </c>
      <c r="D229" s="4">
        <f t="shared" si="1"/>
        <v>0.016399623</v>
      </c>
      <c r="E229" s="2"/>
    </row>
    <row r="230">
      <c r="A230" s="1" t="s">
        <v>2</v>
      </c>
      <c r="B230" s="3">
        <f>IFERROR(__xludf.DUMMYFUNCTION("""COMPUTED_VALUE"""),45967.66666666667)</f>
        <v>45967.66667</v>
      </c>
      <c r="C230" s="4">
        <f>IFERROR(__xludf.DUMMYFUNCTION("""COMPUTED_VALUE"""),53.1)</f>
        <v>53.1</v>
      </c>
      <c r="D230" s="4">
        <f t="shared" si="1"/>
        <v>-0.01520771513</v>
      </c>
      <c r="E230" s="2"/>
    </row>
    <row r="231">
      <c r="A231" s="1" t="s">
        <v>2</v>
      </c>
      <c r="B231" s="3">
        <f>IFERROR(__xludf.DUMMYFUNCTION("""COMPUTED_VALUE"""),45968.66666666667)</f>
        <v>45968.66667</v>
      </c>
      <c r="C231" s="4">
        <f>IFERROR(__xludf.DUMMYFUNCTION("""COMPUTED_VALUE"""),54.27)</f>
        <v>54.27</v>
      </c>
      <c r="D231" s="4">
        <f t="shared" si="1"/>
        <v>0.02203389831</v>
      </c>
      <c r="E231" s="2"/>
    </row>
    <row r="232">
      <c r="A232" s="1" t="s">
        <v>2</v>
      </c>
      <c r="B232" s="3">
        <f>IFERROR(__xludf.DUMMYFUNCTION("""COMPUTED_VALUE"""),45971.66666666667)</f>
        <v>45971.66667</v>
      </c>
      <c r="C232" s="4">
        <f>IFERROR(__xludf.DUMMYFUNCTION("""COMPUTED_VALUE"""),55.46)</f>
        <v>55.46</v>
      </c>
      <c r="D232" s="4">
        <f t="shared" si="1"/>
        <v>0.02192740004</v>
      </c>
      <c r="E232" s="2"/>
    </row>
    <row r="233">
      <c r="A233" s="1" t="s">
        <v>2</v>
      </c>
      <c r="B233" s="3">
        <f>IFERROR(__xludf.DUMMYFUNCTION("""COMPUTED_VALUE"""),45972.66666666667)</f>
        <v>45972.66667</v>
      </c>
      <c r="C233" s="4">
        <f>IFERROR(__xludf.DUMMYFUNCTION("""COMPUTED_VALUE"""),55.94)</f>
        <v>55.94</v>
      </c>
      <c r="D233" s="4">
        <f t="shared" si="1"/>
        <v>0.008654886405</v>
      </c>
      <c r="E233" s="2"/>
    </row>
    <row r="234">
      <c r="A234" s="1" t="s">
        <v>2</v>
      </c>
      <c r="B234" s="3">
        <f>IFERROR(__xludf.DUMMYFUNCTION("""COMPUTED_VALUE"""),45973.66666666667)</f>
        <v>45973.66667</v>
      </c>
      <c r="C234" s="4">
        <f>IFERROR(__xludf.DUMMYFUNCTION("""COMPUTED_VALUE"""),55.98)</f>
        <v>55.98</v>
      </c>
      <c r="D234" s="4">
        <f t="shared" si="1"/>
        <v>0.0007150518413</v>
      </c>
      <c r="E234" s="2"/>
    </row>
    <row r="235">
      <c r="A235" s="1" t="s">
        <v>2</v>
      </c>
      <c r="B235" s="3">
        <f>IFERROR(__xludf.DUMMYFUNCTION("""COMPUTED_VALUE"""),45974.66666666667)</f>
        <v>45974.66667</v>
      </c>
      <c r="C235" s="4">
        <f>IFERROR(__xludf.DUMMYFUNCTION("""COMPUTED_VALUE"""),56.18)</f>
        <v>56.18</v>
      </c>
      <c r="D235" s="4">
        <f t="shared" si="1"/>
        <v>0.003572704537</v>
      </c>
      <c r="E235" s="2"/>
    </row>
    <row r="236">
      <c r="A236" s="1" t="s">
        <v>2</v>
      </c>
      <c r="B236" s="3">
        <f>IFERROR(__xludf.DUMMYFUNCTION("""COMPUTED_VALUE"""),45975.66666666667)</f>
        <v>45975.66667</v>
      </c>
      <c r="C236" s="4">
        <f>IFERROR(__xludf.DUMMYFUNCTION("""COMPUTED_VALUE"""),55.42)</f>
        <v>55.42</v>
      </c>
      <c r="D236" s="4">
        <f t="shared" si="1"/>
        <v>-0.01352794589</v>
      </c>
      <c r="E236" s="2"/>
    </row>
    <row r="237">
      <c r="A237" s="1" t="s">
        <v>2</v>
      </c>
      <c r="B237" s="3">
        <f>IFERROR(__xludf.DUMMYFUNCTION("""COMPUTED_VALUE"""),45978.66666666667)</f>
        <v>45978.66667</v>
      </c>
      <c r="C237" s="4">
        <f>IFERROR(__xludf.DUMMYFUNCTION("""COMPUTED_VALUE"""),53.68)</f>
        <v>53.68</v>
      </c>
      <c r="D237" s="4">
        <f t="shared" si="1"/>
        <v>-0.03139660772</v>
      </c>
      <c r="E237" s="2"/>
    </row>
    <row r="238">
      <c r="A238" s="1" t="s">
        <v>2</v>
      </c>
      <c r="B238" s="3">
        <f>IFERROR(__xludf.DUMMYFUNCTION("""COMPUTED_VALUE"""),45979.66666666667)</f>
        <v>45979.66667</v>
      </c>
      <c r="C238" s="4">
        <f>IFERROR(__xludf.DUMMYFUNCTION("""COMPUTED_VALUE"""),53.53)</f>
        <v>53.53</v>
      </c>
      <c r="D238" s="4">
        <f t="shared" si="1"/>
        <v>-0.002794336811</v>
      </c>
      <c r="E238" s="2"/>
    </row>
    <row r="239">
      <c r="A239" s="1" t="s">
        <v>2</v>
      </c>
      <c r="B239" s="3">
        <f>IFERROR(__xludf.DUMMYFUNCTION("""COMPUTED_VALUE"""),45980.66666666667)</f>
        <v>45980.66667</v>
      </c>
      <c r="C239" s="4">
        <f>IFERROR(__xludf.DUMMYFUNCTION("""COMPUTED_VALUE"""),52.54)</f>
        <v>52.54</v>
      </c>
      <c r="D239" s="4">
        <f t="shared" si="1"/>
        <v>-0.01849430226</v>
      </c>
      <c r="E239" s="2"/>
    </row>
    <row r="240">
      <c r="A240" s="1" t="s">
        <v>2</v>
      </c>
      <c r="B240" s="3">
        <f>IFERROR(__xludf.DUMMYFUNCTION("""COMPUTED_VALUE"""),45981.66666666667)</f>
        <v>45981.66667</v>
      </c>
      <c r="C240" s="4">
        <f>IFERROR(__xludf.DUMMYFUNCTION("""COMPUTED_VALUE"""),52.64)</f>
        <v>52.64</v>
      </c>
      <c r="D240" s="4">
        <f t="shared" si="1"/>
        <v>0.001903311762</v>
      </c>
      <c r="E240" s="2"/>
    </row>
    <row r="241">
      <c r="A241" s="1" t="s">
        <v>2</v>
      </c>
      <c r="B241" s="3">
        <f>IFERROR(__xludf.DUMMYFUNCTION("""COMPUTED_VALUE"""),45982.66666666667)</f>
        <v>45982.66667</v>
      </c>
      <c r="C241" s="4">
        <f>IFERROR(__xludf.DUMMYFUNCTION("""COMPUTED_VALUE"""),52.92)</f>
        <v>52.92</v>
      </c>
      <c r="D241" s="4">
        <f t="shared" si="1"/>
        <v>0.005319148936</v>
      </c>
      <c r="E241" s="2"/>
    </row>
    <row r="242">
      <c r="A242" s="1" t="s">
        <v>2</v>
      </c>
      <c r="B242" s="3">
        <f>IFERROR(__xludf.DUMMYFUNCTION("""COMPUTED_VALUE"""),45985.66666666667)</f>
        <v>45985.66667</v>
      </c>
      <c r="C242" s="4">
        <f>IFERROR(__xludf.DUMMYFUNCTION("""COMPUTED_VALUE"""),53.03)</f>
        <v>53.03</v>
      </c>
      <c r="D242" s="4">
        <f t="shared" si="1"/>
        <v>0.002078609221</v>
      </c>
      <c r="E242" s="2"/>
    </row>
    <row r="243">
      <c r="A243" s="1" t="s">
        <v>2</v>
      </c>
      <c r="B243" s="3">
        <f>IFERROR(__xludf.DUMMYFUNCTION("""COMPUTED_VALUE"""),45986.66666666667)</f>
        <v>45986.66667</v>
      </c>
      <c r="C243" s="4">
        <f>IFERROR(__xludf.DUMMYFUNCTION("""COMPUTED_VALUE"""),54.42)</f>
        <v>54.42</v>
      </c>
      <c r="D243" s="4">
        <f t="shared" si="1"/>
        <v>0.02621157835</v>
      </c>
      <c r="E243" s="2"/>
    </row>
    <row r="244">
      <c r="A244" s="1" t="s">
        <v>2</v>
      </c>
      <c r="B244" s="3">
        <f>IFERROR(__xludf.DUMMYFUNCTION("""COMPUTED_VALUE"""),45987.66666666667)</f>
        <v>45987.66667</v>
      </c>
      <c r="C244" s="4">
        <f>IFERROR(__xludf.DUMMYFUNCTION("""COMPUTED_VALUE"""),54.63)</f>
        <v>54.63</v>
      </c>
      <c r="D244" s="4">
        <f t="shared" si="1"/>
        <v>0.003858875413</v>
      </c>
      <c r="E244" s="2"/>
    </row>
    <row r="245">
      <c r="A245" s="1" t="s">
        <v>2</v>
      </c>
      <c r="B245" s="3">
        <f>IFERROR(__xludf.DUMMYFUNCTION("""COMPUTED_VALUE"""),45989.54513888889)</f>
        <v>45989.54514</v>
      </c>
      <c r="C245" s="4">
        <f>IFERROR(__xludf.DUMMYFUNCTION("""COMPUTED_VALUE"""),54.78)</f>
        <v>54.78</v>
      </c>
      <c r="D245" s="4">
        <f t="shared" si="1"/>
        <v>0.002745744097</v>
      </c>
      <c r="E245" s="2"/>
    </row>
    <row r="246">
      <c r="A246" s="1" t="s">
        <v>2</v>
      </c>
      <c r="B246" s="3">
        <f>IFERROR(__xludf.DUMMYFUNCTION("""COMPUTED_VALUE"""),45992.66666666667)</f>
        <v>45992.66667</v>
      </c>
      <c r="C246" s="4">
        <f>IFERROR(__xludf.DUMMYFUNCTION("""COMPUTED_VALUE"""),53.66)</f>
        <v>53.66</v>
      </c>
      <c r="D246" s="4">
        <f t="shared" si="1"/>
        <v>-0.02044541804</v>
      </c>
      <c r="E246" s="2"/>
    </row>
    <row r="247">
      <c r="A247" s="1" t="s">
        <v>2</v>
      </c>
      <c r="B247" s="3">
        <f>IFERROR(__xludf.DUMMYFUNCTION("""COMPUTED_VALUE"""),45993.66666666667)</f>
        <v>45993.66667</v>
      </c>
      <c r="C247" s="4">
        <f>IFERROR(__xludf.DUMMYFUNCTION("""COMPUTED_VALUE"""),53.22)</f>
        <v>53.22</v>
      </c>
      <c r="D247" s="4">
        <f t="shared" si="1"/>
        <v>-0.00819977637</v>
      </c>
      <c r="E247" s="2"/>
    </row>
    <row r="248">
      <c r="A248" s="1" t="s">
        <v>2</v>
      </c>
      <c r="B248" s="3">
        <f>IFERROR(__xludf.DUMMYFUNCTION("""COMPUTED_VALUE"""),45994.66666666667)</f>
        <v>45994.66667</v>
      </c>
      <c r="C248" s="4">
        <f>IFERROR(__xludf.DUMMYFUNCTION("""COMPUTED_VALUE"""),54.07)</f>
        <v>54.07</v>
      </c>
      <c r="D248" s="4">
        <f t="shared" si="1"/>
        <v>0.01597143931</v>
      </c>
      <c r="E248" s="2"/>
    </row>
    <row r="249">
      <c r="A249" s="1" t="s">
        <v>2</v>
      </c>
      <c r="B249" s="3">
        <f>IFERROR(__xludf.DUMMYFUNCTION("""COMPUTED_VALUE"""),45995.66666666667)</f>
        <v>45995.66667</v>
      </c>
      <c r="C249" s="4">
        <f>IFERROR(__xludf.DUMMYFUNCTION("""COMPUTED_VALUE"""),54.38)</f>
        <v>54.38</v>
      </c>
      <c r="D249" s="4">
        <f t="shared" si="1"/>
        <v>0.005733308674</v>
      </c>
      <c r="E249" s="2"/>
    </row>
    <row r="250">
      <c r="A250" s="1" t="s">
        <v>2</v>
      </c>
      <c r="B250" s="3">
        <f>IFERROR(__xludf.DUMMYFUNCTION("""COMPUTED_VALUE"""),45996.66666666667)</f>
        <v>45996.66667</v>
      </c>
      <c r="C250" s="4">
        <f>IFERROR(__xludf.DUMMYFUNCTION("""COMPUTED_VALUE"""),54.08)</f>
        <v>54.08</v>
      </c>
      <c r="D250" s="4">
        <f t="shared" si="1"/>
        <v>-0.005516734093</v>
      </c>
      <c r="E250" s="2"/>
    </row>
    <row r="251">
      <c r="A251" s="1" t="s">
        <v>2</v>
      </c>
      <c r="B251" s="3">
        <f>IFERROR(__xludf.DUMMYFUNCTION("""COMPUTED_VALUE"""),45999.66666666667)</f>
        <v>45999.66667</v>
      </c>
      <c r="C251" s="4">
        <f>IFERROR(__xludf.DUMMYFUNCTION("""COMPUTED_VALUE"""),53.34)</f>
        <v>53.34</v>
      </c>
      <c r="D251" s="4">
        <f t="shared" si="1"/>
        <v>-0.01368343195</v>
      </c>
      <c r="E251" s="2"/>
    </row>
    <row r="252">
      <c r="A252" s="2"/>
      <c r="B252" s="1"/>
      <c r="C252" s="1"/>
      <c r="D252" s="4"/>
      <c r="E252" s="2"/>
    </row>
    <row r="253">
      <c r="A253" s="2"/>
      <c r="B253" s="1"/>
      <c r="C253" s="1"/>
      <c r="D253" s="4"/>
      <c r="E253" s="2"/>
    </row>
    <row r="254">
      <c r="A254" s="2"/>
      <c r="B254" s="1"/>
      <c r="C254" s="1"/>
      <c r="D254" s="4"/>
      <c r="E254" s="2"/>
    </row>
    <row r="255">
      <c r="A255" s="2"/>
      <c r="B255" s="1"/>
      <c r="C255" s="1"/>
      <c r="D255" s="4"/>
      <c r="E255" s="2"/>
    </row>
    <row r="256">
      <c r="A256" s="2"/>
      <c r="B256" s="1"/>
      <c r="C256" s="1"/>
      <c r="D256" s="4"/>
      <c r="E256" s="2"/>
    </row>
    <row r="257">
      <c r="A257" s="2"/>
      <c r="B257" s="1"/>
      <c r="C257" s="1"/>
      <c r="D257" s="4"/>
      <c r="E257" s="2"/>
    </row>
    <row r="258">
      <c r="A258" s="2"/>
      <c r="B258" s="1"/>
      <c r="C258" s="1"/>
      <c r="D258" s="4"/>
      <c r="E258" s="2"/>
    </row>
    <row r="259">
      <c r="A259" s="2"/>
      <c r="B259" s="1"/>
      <c r="C259" s="1"/>
      <c r="D259" s="4"/>
      <c r="E259" s="2"/>
    </row>
    <row r="260">
      <c r="A260" s="2"/>
      <c r="B260" s="1"/>
      <c r="C260" s="1"/>
      <c r="D260" s="4"/>
      <c r="E260" s="2"/>
    </row>
    <row r="261">
      <c r="A261" s="2"/>
      <c r="B261" s="1" t="str">
        <f>IFERROR(__xludf.DUMMYFUNCTION("GOOGLEFINANCE(A262,""Price"",edate(today(),-12),today())"),"Date")</f>
        <v>Date</v>
      </c>
      <c r="C261" s="1" t="str">
        <f>IFERROR(__xludf.DUMMYFUNCTION("""COMPUTED_VALUE"""),"Close")</f>
        <v>Close</v>
      </c>
      <c r="D261" s="4"/>
      <c r="E261" s="2"/>
    </row>
    <row r="262">
      <c r="A262" s="1" t="s">
        <v>3</v>
      </c>
      <c r="B262" s="3">
        <f>IFERROR(__xludf.DUMMYFUNCTION("""COMPUTED_VALUE"""),45635.6875)</f>
        <v>45635.6875</v>
      </c>
      <c r="C262" s="4">
        <f>IFERROR(__xludf.DUMMYFUNCTION("""COMPUTED_VALUE"""),267.55)</f>
        <v>267.55</v>
      </c>
      <c r="D262" s="4"/>
      <c r="E262" s="2"/>
    </row>
    <row r="263">
      <c r="A263" s="1" t="s">
        <v>3</v>
      </c>
      <c r="B263" s="3">
        <f>IFERROR(__xludf.DUMMYFUNCTION("""COMPUTED_VALUE"""),45636.6875)</f>
        <v>45636.6875</v>
      </c>
      <c r="C263" s="4">
        <f>IFERROR(__xludf.DUMMYFUNCTION("""COMPUTED_VALUE"""),264.2)</f>
        <v>264.2</v>
      </c>
      <c r="D263" s="4">
        <f t="shared" ref="D263:D513" si="2">(C263-C262)/C262</f>
        <v>-0.01252102411</v>
      </c>
      <c r="E263" s="2"/>
    </row>
    <row r="264">
      <c r="A264" s="1" t="s">
        <v>3</v>
      </c>
      <c r="B264" s="3">
        <f>IFERROR(__xludf.DUMMYFUNCTION("""COMPUTED_VALUE"""),45637.6875)</f>
        <v>45637.6875</v>
      </c>
      <c r="C264" s="4">
        <f>IFERROR(__xludf.DUMMYFUNCTION("""COMPUTED_VALUE"""),266.65)</f>
        <v>266.65</v>
      </c>
      <c r="D264" s="4">
        <f t="shared" si="2"/>
        <v>0.00927327782</v>
      </c>
      <c r="E264" s="2"/>
    </row>
    <row r="265">
      <c r="A265" s="1" t="s">
        <v>3</v>
      </c>
      <c r="B265" s="3">
        <f>IFERROR(__xludf.DUMMYFUNCTION("""COMPUTED_VALUE"""),45638.6875)</f>
        <v>45638.6875</v>
      </c>
      <c r="C265" s="4">
        <f>IFERROR(__xludf.DUMMYFUNCTION("""COMPUTED_VALUE"""),270.7)</f>
        <v>270.7</v>
      </c>
      <c r="D265" s="4">
        <f t="shared" si="2"/>
        <v>0.01518844928</v>
      </c>
      <c r="E265" s="2"/>
    </row>
    <row r="266">
      <c r="A266" s="1" t="s">
        <v>3</v>
      </c>
      <c r="B266" s="3">
        <f>IFERROR(__xludf.DUMMYFUNCTION("""COMPUTED_VALUE"""),45639.6875)</f>
        <v>45639.6875</v>
      </c>
      <c r="C266" s="4">
        <f>IFERROR(__xludf.DUMMYFUNCTION("""COMPUTED_VALUE"""),269.4)</f>
        <v>269.4</v>
      </c>
      <c r="D266" s="4">
        <f t="shared" si="2"/>
        <v>-0.004802364241</v>
      </c>
      <c r="E266" s="2"/>
    </row>
    <row r="267">
      <c r="A267" s="1" t="s">
        <v>3</v>
      </c>
      <c r="B267" s="3">
        <f>IFERROR(__xludf.DUMMYFUNCTION("""COMPUTED_VALUE"""),45642.6875)</f>
        <v>45642.6875</v>
      </c>
      <c r="C267" s="4">
        <f>IFERROR(__xludf.DUMMYFUNCTION("""COMPUTED_VALUE"""),270.3)</f>
        <v>270.3</v>
      </c>
      <c r="D267" s="4">
        <f t="shared" si="2"/>
        <v>0.003340757238</v>
      </c>
      <c r="E267" s="2"/>
    </row>
    <row r="268">
      <c r="A268" s="1" t="s">
        <v>3</v>
      </c>
      <c r="B268" s="3">
        <f>IFERROR(__xludf.DUMMYFUNCTION("""COMPUTED_VALUE"""),45643.6875)</f>
        <v>45643.6875</v>
      </c>
      <c r="C268" s="4">
        <f>IFERROR(__xludf.DUMMYFUNCTION("""COMPUTED_VALUE"""),264.55)</f>
        <v>264.55</v>
      </c>
      <c r="D268" s="4">
        <f t="shared" si="2"/>
        <v>-0.02127266001</v>
      </c>
      <c r="E268" s="2"/>
    </row>
    <row r="269">
      <c r="A269" s="1" t="s">
        <v>3</v>
      </c>
      <c r="B269" s="3">
        <f>IFERROR(__xludf.DUMMYFUNCTION("""COMPUTED_VALUE"""),45644.6875)</f>
        <v>45644.6875</v>
      </c>
      <c r="C269" s="4">
        <f>IFERROR(__xludf.DUMMYFUNCTION("""COMPUTED_VALUE"""),267.05)</f>
        <v>267.05</v>
      </c>
      <c r="D269" s="4">
        <f t="shared" si="2"/>
        <v>0.00945000945</v>
      </c>
      <c r="E269" s="2"/>
    </row>
    <row r="270">
      <c r="A270" s="1" t="s">
        <v>3</v>
      </c>
      <c r="B270" s="3">
        <f>IFERROR(__xludf.DUMMYFUNCTION("""COMPUTED_VALUE"""),45645.6875)</f>
        <v>45645.6875</v>
      </c>
      <c r="C270" s="4">
        <f>IFERROR(__xludf.DUMMYFUNCTION("""COMPUTED_VALUE"""),260.25)</f>
        <v>260.25</v>
      </c>
      <c r="D270" s="4">
        <f t="shared" si="2"/>
        <v>-0.02546339637</v>
      </c>
      <c r="E270" s="2"/>
    </row>
    <row r="271">
      <c r="A271" s="1" t="s">
        <v>3</v>
      </c>
      <c r="B271" s="3">
        <f>IFERROR(__xludf.DUMMYFUNCTION("""COMPUTED_VALUE"""),45646.6875)</f>
        <v>45646.6875</v>
      </c>
      <c r="C271" s="4">
        <f>IFERROR(__xludf.DUMMYFUNCTION("""COMPUTED_VALUE"""),260.25)</f>
        <v>260.25</v>
      </c>
      <c r="D271" s="4">
        <f t="shared" si="2"/>
        <v>0</v>
      </c>
      <c r="E271" s="2"/>
    </row>
    <row r="272">
      <c r="A272" s="1" t="s">
        <v>3</v>
      </c>
      <c r="B272" s="3">
        <f>IFERROR(__xludf.DUMMYFUNCTION("""COMPUTED_VALUE"""),45649.6875)</f>
        <v>45649.6875</v>
      </c>
      <c r="C272" s="4">
        <f>IFERROR(__xludf.DUMMYFUNCTION("""COMPUTED_VALUE"""),261.6)</f>
        <v>261.6</v>
      </c>
      <c r="D272" s="4">
        <f t="shared" si="2"/>
        <v>0.005187319885</v>
      </c>
      <c r="E272" s="2"/>
    </row>
    <row r="273">
      <c r="A273" s="1" t="s">
        <v>3</v>
      </c>
      <c r="B273" s="3">
        <f>IFERROR(__xludf.DUMMYFUNCTION("""COMPUTED_VALUE"""),45650.52083333333)</f>
        <v>45650.52083</v>
      </c>
      <c r="C273" s="4">
        <f>IFERROR(__xludf.DUMMYFUNCTION("""COMPUTED_VALUE"""),263.55)</f>
        <v>263.55</v>
      </c>
      <c r="D273" s="4">
        <f t="shared" si="2"/>
        <v>0.00745412844</v>
      </c>
      <c r="E273" s="2"/>
    </row>
    <row r="274">
      <c r="A274" s="1" t="s">
        <v>3</v>
      </c>
      <c r="B274" s="3">
        <f>IFERROR(__xludf.DUMMYFUNCTION("""COMPUTED_VALUE"""),45653.6875)</f>
        <v>45653.6875</v>
      </c>
      <c r="C274" s="4">
        <f>IFERROR(__xludf.DUMMYFUNCTION("""COMPUTED_VALUE"""),264.9)</f>
        <v>264.9</v>
      </c>
      <c r="D274" s="4">
        <f t="shared" si="2"/>
        <v>0.005122367672</v>
      </c>
      <c r="E274" s="2"/>
    </row>
    <row r="275">
      <c r="A275" s="1" t="s">
        <v>3</v>
      </c>
      <c r="B275" s="3">
        <f>IFERROR(__xludf.DUMMYFUNCTION("""COMPUTED_VALUE"""),45656.6875)</f>
        <v>45656.6875</v>
      </c>
      <c r="C275" s="4">
        <f>IFERROR(__xludf.DUMMYFUNCTION("""COMPUTED_VALUE"""),264.75)</f>
        <v>264.75</v>
      </c>
      <c r="D275" s="4">
        <f t="shared" si="2"/>
        <v>-0.0005662514156</v>
      </c>
      <c r="E275" s="2"/>
    </row>
    <row r="276">
      <c r="A276" s="1" t="s">
        <v>3</v>
      </c>
      <c r="B276" s="3">
        <f>IFERROR(__xludf.DUMMYFUNCTION("""COMPUTED_VALUE"""),45657.52083333333)</f>
        <v>45657.52083</v>
      </c>
      <c r="C276" s="4">
        <f>IFERROR(__xludf.DUMMYFUNCTION("""COMPUTED_VALUE"""),268.15)</f>
        <v>268.15</v>
      </c>
      <c r="D276" s="4">
        <f t="shared" si="2"/>
        <v>0.01284230406</v>
      </c>
      <c r="E276" s="2"/>
    </row>
    <row r="277">
      <c r="A277" s="1" t="s">
        <v>3</v>
      </c>
      <c r="B277" s="3">
        <f>IFERROR(__xludf.DUMMYFUNCTION("""COMPUTED_VALUE"""),45659.6875)</f>
        <v>45659.6875</v>
      </c>
      <c r="C277" s="4">
        <f>IFERROR(__xludf.DUMMYFUNCTION("""COMPUTED_VALUE"""),266.9)</f>
        <v>266.9</v>
      </c>
      <c r="D277" s="4">
        <f t="shared" si="2"/>
        <v>-0.004661570017</v>
      </c>
      <c r="E277" s="2"/>
    </row>
    <row r="278">
      <c r="A278" s="1" t="s">
        <v>3</v>
      </c>
      <c r="B278" s="3">
        <f>IFERROR(__xludf.DUMMYFUNCTION("""COMPUTED_VALUE"""),45660.6875)</f>
        <v>45660.6875</v>
      </c>
      <c r="C278" s="4">
        <f>IFERROR(__xludf.DUMMYFUNCTION("""COMPUTED_VALUE"""),266.45)</f>
        <v>266.45</v>
      </c>
      <c r="D278" s="4">
        <f t="shared" si="2"/>
        <v>-0.001686024728</v>
      </c>
      <c r="E278" s="2"/>
    </row>
    <row r="279">
      <c r="A279" s="1" t="s">
        <v>3</v>
      </c>
      <c r="B279" s="3">
        <f>IFERROR(__xludf.DUMMYFUNCTION("""COMPUTED_VALUE"""),45663.6875)</f>
        <v>45663.6875</v>
      </c>
      <c r="C279" s="4">
        <f>IFERROR(__xludf.DUMMYFUNCTION("""COMPUTED_VALUE"""),272.8)</f>
        <v>272.8</v>
      </c>
      <c r="D279" s="4">
        <f t="shared" si="2"/>
        <v>0.02383186339</v>
      </c>
      <c r="E279" s="2"/>
    </row>
    <row r="280">
      <c r="A280" s="1" t="s">
        <v>3</v>
      </c>
      <c r="B280" s="3">
        <f>IFERROR(__xludf.DUMMYFUNCTION("""COMPUTED_VALUE"""),45664.6875)</f>
        <v>45664.6875</v>
      </c>
      <c r="C280" s="4">
        <f>IFERROR(__xludf.DUMMYFUNCTION("""COMPUTED_VALUE"""),265.7)</f>
        <v>265.7</v>
      </c>
      <c r="D280" s="4">
        <f t="shared" si="2"/>
        <v>-0.02602639296</v>
      </c>
      <c r="E280" s="2"/>
    </row>
    <row r="281">
      <c r="A281" s="1" t="s">
        <v>3</v>
      </c>
      <c r="B281" s="3">
        <f>IFERROR(__xludf.DUMMYFUNCTION("""COMPUTED_VALUE"""),45665.6875)</f>
        <v>45665.6875</v>
      </c>
      <c r="C281" s="4">
        <f>IFERROR(__xludf.DUMMYFUNCTION("""COMPUTED_VALUE"""),265.0)</f>
        <v>265</v>
      </c>
      <c r="D281" s="4">
        <f t="shared" si="2"/>
        <v>-0.002634550245</v>
      </c>
      <c r="E281" s="2"/>
    </row>
    <row r="282">
      <c r="A282" s="1" t="s">
        <v>3</v>
      </c>
      <c r="B282" s="3">
        <f>IFERROR(__xludf.DUMMYFUNCTION("""COMPUTED_VALUE"""),45666.6875)</f>
        <v>45666.6875</v>
      </c>
      <c r="C282" s="4">
        <f>IFERROR(__xludf.DUMMYFUNCTION("""COMPUTED_VALUE"""),265.85)</f>
        <v>265.85</v>
      </c>
      <c r="D282" s="4">
        <f t="shared" si="2"/>
        <v>0.00320754717</v>
      </c>
      <c r="E282" s="2"/>
    </row>
    <row r="283">
      <c r="A283" s="1" t="s">
        <v>3</v>
      </c>
      <c r="B283" s="3">
        <f>IFERROR(__xludf.DUMMYFUNCTION("""COMPUTED_VALUE"""),45667.6875)</f>
        <v>45667.6875</v>
      </c>
      <c r="C283" s="4">
        <f>IFERROR(__xludf.DUMMYFUNCTION("""COMPUTED_VALUE"""),258.05)</f>
        <v>258.05</v>
      </c>
      <c r="D283" s="4">
        <f t="shared" si="2"/>
        <v>-0.0293398533</v>
      </c>
      <c r="E283" s="2"/>
    </row>
    <row r="284">
      <c r="A284" s="1" t="s">
        <v>3</v>
      </c>
      <c r="B284" s="3">
        <f>IFERROR(__xludf.DUMMYFUNCTION("""COMPUTED_VALUE"""),45670.6875)</f>
        <v>45670.6875</v>
      </c>
      <c r="C284" s="4">
        <f>IFERROR(__xludf.DUMMYFUNCTION("""COMPUTED_VALUE"""),260.7)</f>
        <v>260.7</v>
      </c>
      <c r="D284" s="4">
        <f t="shared" si="2"/>
        <v>0.01026932765</v>
      </c>
      <c r="E284" s="2"/>
    </row>
    <row r="285">
      <c r="A285" s="1" t="s">
        <v>3</v>
      </c>
      <c r="B285" s="3">
        <f>IFERROR(__xludf.DUMMYFUNCTION("""COMPUTED_VALUE"""),45671.6875)</f>
        <v>45671.6875</v>
      </c>
      <c r="C285" s="4">
        <f>IFERROR(__xludf.DUMMYFUNCTION("""COMPUTED_VALUE"""),263.8)</f>
        <v>263.8</v>
      </c>
      <c r="D285" s="4">
        <f t="shared" si="2"/>
        <v>0.01189106252</v>
      </c>
      <c r="E285" s="2"/>
    </row>
    <row r="286">
      <c r="A286" s="1" t="s">
        <v>3</v>
      </c>
      <c r="B286" s="3">
        <f>IFERROR(__xludf.DUMMYFUNCTION("""COMPUTED_VALUE"""),45672.6875)</f>
        <v>45672.6875</v>
      </c>
      <c r="C286" s="4">
        <f>IFERROR(__xludf.DUMMYFUNCTION("""COMPUTED_VALUE"""),280.95)</f>
        <v>280.95</v>
      </c>
      <c r="D286" s="4">
        <f t="shared" si="2"/>
        <v>0.06501137225</v>
      </c>
      <c r="E286" s="2"/>
    </row>
    <row r="287">
      <c r="A287" s="1" t="s">
        <v>3</v>
      </c>
      <c r="B287" s="3">
        <f>IFERROR(__xludf.DUMMYFUNCTION("""COMPUTED_VALUE"""),45673.6875)</f>
        <v>45673.6875</v>
      </c>
      <c r="C287" s="4">
        <f>IFERROR(__xludf.DUMMYFUNCTION("""COMPUTED_VALUE"""),282.7)</f>
        <v>282.7</v>
      </c>
      <c r="D287" s="4">
        <f t="shared" si="2"/>
        <v>0.006228866346</v>
      </c>
      <c r="E287" s="2"/>
    </row>
    <row r="288">
      <c r="A288" s="1" t="s">
        <v>3</v>
      </c>
      <c r="B288" s="3">
        <f>IFERROR(__xludf.DUMMYFUNCTION("""COMPUTED_VALUE"""),45674.6875)</f>
        <v>45674.6875</v>
      </c>
      <c r="C288" s="4">
        <f>IFERROR(__xludf.DUMMYFUNCTION("""COMPUTED_VALUE"""),289.35)</f>
        <v>289.35</v>
      </c>
      <c r="D288" s="4">
        <f t="shared" si="2"/>
        <v>0.02352316944</v>
      </c>
      <c r="E288" s="2"/>
    </row>
    <row r="289">
      <c r="A289" s="1" t="s">
        <v>3</v>
      </c>
      <c r="B289" s="3">
        <f>IFERROR(__xludf.DUMMYFUNCTION("""COMPUTED_VALUE"""),45677.6875)</f>
        <v>45677.6875</v>
      </c>
      <c r="C289" s="4">
        <f>IFERROR(__xludf.DUMMYFUNCTION("""COMPUTED_VALUE"""),291.85)</f>
        <v>291.85</v>
      </c>
      <c r="D289" s="4">
        <f t="shared" si="2"/>
        <v>0.008640055296</v>
      </c>
      <c r="E289" s="2"/>
    </row>
    <row r="290">
      <c r="A290" s="1" t="s">
        <v>3</v>
      </c>
      <c r="B290" s="3">
        <f>IFERROR(__xludf.DUMMYFUNCTION("""COMPUTED_VALUE"""),45678.6875)</f>
        <v>45678.6875</v>
      </c>
      <c r="C290" s="4">
        <f>IFERROR(__xludf.DUMMYFUNCTION("""COMPUTED_VALUE"""),295.95)</f>
        <v>295.95</v>
      </c>
      <c r="D290" s="4">
        <f t="shared" si="2"/>
        <v>0.01404831249</v>
      </c>
      <c r="E290" s="2"/>
    </row>
    <row r="291">
      <c r="A291" s="1" t="s">
        <v>3</v>
      </c>
      <c r="B291" s="3">
        <f>IFERROR(__xludf.DUMMYFUNCTION("""COMPUTED_VALUE"""),45679.6875)</f>
        <v>45679.6875</v>
      </c>
      <c r="C291" s="4">
        <f>IFERROR(__xludf.DUMMYFUNCTION("""COMPUTED_VALUE"""),293.75)</f>
        <v>293.75</v>
      </c>
      <c r="D291" s="4">
        <f t="shared" si="2"/>
        <v>-0.007433688123</v>
      </c>
      <c r="E291" s="2"/>
    </row>
    <row r="292">
      <c r="A292" s="1" t="s">
        <v>3</v>
      </c>
      <c r="B292" s="3">
        <f>IFERROR(__xludf.DUMMYFUNCTION("""COMPUTED_VALUE"""),45680.6875)</f>
        <v>45680.6875</v>
      </c>
      <c r="C292" s="4">
        <f>IFERROR(__xludf.DUMMYFUNCTION("""COMPUTED_VALUE"""),298.65)</f>
        <v>298.65</v>
      </c>
      <c r="D292" s="4">
        <f t="shared" si="2"/>
        <v>0.01668085106</v>
      </c>
      <c r="E292" s="2"/>
    </row>
    <row r="293">
      <c r="A293" s="1" t="s">
        <v>3</v>
      </c>
      <c r="B293" s="3">
        <f>IFERROR(__xludf.DUMMYFUNCTION("""COMPUTED_VALUE"""),45681.6875)</f>
        <v>45681.6875</v>
      </c>
      <c r="C293" s="4">
        <f>IFERROR(__xludf.DUMMYFUNCTION("""COMPUTED_VALUE"""),293.05)</f>
        <v>293.05</v>
      </c>
      <c r="D293" s="4">
        <f t="shared" si="2"/>
        <v>-0.01875104638</v>
      </c>
      <c r="E293" s="2"/>
    </row>
    <row r="294">
      <c r="A294" s="1" t="s">
        <v>3</v>
      </c>
      <c r="B294" s="3">
        <f>IFERROR(__xludf.DUMMYFUNCTION("""COMPUTED_VALUE"""),45684.6875)</f>
        <v>45684.6875</v>
      </c>
      <c r="C294" s="4">
        <f>IFERROR(__xludf.DUMMYFUNCTION("""COMPUTED_VALUE"""),288.4)</f>
        <v>288.4</v>
      </c>
      <c r="D294" s="4">
        <f t="shared" si="2"/>
        <v>-0.01586759939</v>
      </c>
      <c r="E294" s="2"/>
    </row>
    <row r="295">
      <c r="A295" s="1" t="s">
        <v>3</v>
      </c>
      <c r="B295" s="3">
        <f>IFERROR(__xludf.DUMMYFUNCTION("""COMPUTED_VALUE"""),45685.6875)</f>
        <v>45685.6875</v>
      </c>
      <c r="C295" s="4">
        <f>IFERROR(__xludf.DUMMYFUNCTION("""COMPUTED_VALUE"""),289.35)</f>
        <v>289.35</v>
      </c>
      <c r="D295" s="4">
        <f t="shared" si="2"/>
        <v>0.003294036061</v>
      </c>
      <c r="E295" s="2"/>
    </row>
    <row r="296">
      <c r="A296" s="1" t="s">
        <v>3</v>
      </c>
      <c r="B296" s="3">
        <f>IFERROR(__xludf.DUMMYFUNCTION("""COMPUTED_VALUE"""),45686.6875)</f>
        <v>45686.6875</v>
      </c>
      <c r="C296" s="4">
        <f>IFERROR(__xludf.DUMMYFUNCTION("""COMPUTED_VALUE"""),296.3)</f>
        <v>296.3</v>
      </c>
      <c r="D296" s="4">
        <f t="shared" si="2"/>
        <v>0.02401935372</v>
      </c>
      <c r="E296" s="2"/>
    </row>
    <row r="297">
      <c r="A297" s="1" t="s">
        <v>3</v>
      </c>
      <c r="B297" s="3">
        <f>IFERROR(__xludf.DUMMYFUNCTION("""COMPUTED_VALUE"""),45687.6875)</f>
        <v>45687.6875</v>
      </c>
      <c r="C297" s="4">
        <f>IFERROR(__xludf.DUMMYFUNCTION("""COMPUTED_VALUE"""),295.8)</f>
        <v>295.8</v>
      </c>
      <c r="D297" s="4">
        <f t="shared" si="2"/>
        <v>-0.001687478907</v>
      </c>
      <c r="E297" s="2"/>
    </row>
    <row r="298">
      <c r="A298" s="1" t="s">
        <v>3</v>
      </c>
      <c r="B298" s="3">
        <f>IFERROR(__xludf.DUMMYFUNCTION("""COMPUTED_VALUE"""),45688.6875)</f>
        <v>45688.6875</v>
      </c>
      <c r="C298" s="4">
        <f>IFERROR(__xludf.DUMMYFUNCTION("""COMPUTED_VALUE"""),297.0)</f>
        <v>297</v>
      </c>
      <c r="D298" s="4">
        <f t="shared" si="2"/>
        <v>0.004056795132</v>
      </c>
      <c r="E298" s="2"/>
    </row>
    <row r="299">
      <c r="A299" s="1" t="s">
        <v>3</v>
      </c>
      <c r="B299" s="3">
        <f>IFERROR(__xludf.DUMMYFUNCTION("""COMPUTED_VALUE"""),45691.6875)</f>
        <v>45691.6875</v>
      </c>
      <c r="C299" s="4">
        <f>IFERROR(__xludf.DUMMYFUNCTION("""COMPUTED_VALUE"""),290.55)</f>
        <v>290.55</v>
      </c>
      <c r="D299" s="4">
        <f t="shared" si="2"/>
        <v>-0.02171717172</v>
      </c>
      <c r="E299" s="2"/>
    </row>
    <row r="300">
      <c r="A300" s="1" t="s">
        <v>3</v>
      </c>
      <c r="B300" s="3">
        <f>IFERROR(__xludf.DUMMYFUNCTION("""COMPUTED_VALUE"""),45692.6875)</f>
        <v>45692.6875</v>
      </c>
      <c r="C300" s="4">
        <f>IFERROR(__xludf.DUMMYFUNCTION("""COMPUTED_VALUE"""),294.25)</f>
        <v>294.25</v>
      </c>
      <c r="D300" s="4">
        <f t="shared" si="2"/>
        <v>0.01273446911</v>
      </c>
      <c r="E300" s="2"/>
    </row>
    <row r="301">
      <c r="A301" s="1" t="s">
        <v>3</v>
      </c>
      <c r="B301" s="3">
        <f>IFERROR(__xludf.DUMMYFUNCTION("""COMPUTED_VALUE"""),45693.6875)</f>
        <v>45693.6875</v>
      </c>
      <c r="C301" s="4">
        <f>IFERROR(__xludf.DUMMYFUNCTION("""COMPUTED_VALUE"""),295.3)</f>
        <v>295.3</v>
      </c>
      <c r="D301" s="4">
        <f t="shared" si="2"/>
        <v>0.003568394223</v>
      </c>
      <c r="E301" s="2"/>
    </row>
    <row r="302">
      <c r="A302" s="1" t="s">
        <v>3</v>
      </c>
      <c r="B302" s="3">
        <f>IFERROR(__xludf.DUMMYFUNCTION("""COMPUTED_VALUE"""),45694.6875)</f>
        <v>45694.6875</v>
      </c>
      <c r="C302" s="4">
        <f>IFERROR(__xludf.DUMMYFUNCTION("""COMPUTED_VALUE"""),307.5)</f>
        <v>307.5</v>
      </c>
      <c r="D302" s="4">
        <f t="shared" si="2"/>
        <v>0.04131391805</v>
      </c>
      <c r="E302" s="2"/>
    </row>
    <row r="303">
      <c r="A303" s="1" t="s">
        <v>3</v>
      </c>
      <c r="B303" s="3">
        <f>IFERROR(__xludf.DUMMYFUNCTION("""COMPUTED_VALUE"""),45695.6875)</f>
        <v>45695.6875</v>
      </c>
      <c r="C303" s="4">
        <f>IFERROR(__xludf.DUMMYFUNCTION("""COMPUTED_VALUE"""),304.7)</f>
        <v>304.7</v>
      </c>
      <c r="D303" s="4">
        <f t="shared" si="2"/>
        <v>-0.009105691057</v>
      </c>
      <c r="E303" s="2"/>
    </row>
    <row r="304">
      <c r="A304" s="1" t="s">
        <v>3</v>
      </c>
      <c r="B304" s="3">
        <f>IFERROR(__xludf.DUMMYFUNCTION("""COMPUTED_VALUE"""),45698.6875)</f>
        <v>45698.6875</v>
      </c>
      <c r="C304" s="4">
        <f>IFERROR(__xludf.DUMMYFUNCTION("""COMPUTED_VALUE"""),302.75)</f>
        <v>302.75</v>
      </c>
      <c r="D304" s="4">
        <f t="shared" si="2"/>
        <v>-0.006399737447</v>
      </c>
      <c r="E304" s="2"/>
    </row>
    <row r="305">
      <c r="A305" s="1" t="s">
        <v>3</v>
      </c>
      <c r="B305" s="3">
        <f>IFERROR(__xludf.DUMMYFUNCTION("""COMPUTED_VALUE"""),45699.6875)</f>
        <v>45699.6875</v>
      </c>
      <c r="C305" s="4">
        <f>IFERROR(__xludf.DUMMYFUNCTION("""COMPUTED_VALUE"""),306.45)</f>
        <v>306.45</v>
      </c>
      <c r="D305" s="4">
        <f t="shared" si="2"/>
        <v>0.01222130471</v>
      </c>
      <c r="E305" s="2"/>
    </row>
    <row r="306">
      <c r="A306" s="1" t="s">
        <v>3</v>
      </c>
      <c r="B306" s="3">
        <f>IFERROR(__xludf.DUMMYFUNCTION("""COMPUTED_VALUE"""),45700.6875)</f>
        <v>45700.6875</v>
      </c>
      <c r="C306" s="4">
        <f>IFERROR(__xludf.DUMMYFUNCTION("""COMPUTED_VALUE"""),307.75)</f>
        <v>307.75</v>
      </c>
      <c r="D306" s="4">
        <f t="shared" si="2"/>
        <v>0.00424212759</v>
      </c>
      <c r="E306" s="2"/>
    </row>
    <row r="307">
      <c r="A307" s="1" t="s">
        <v>3</v>
      </c>
      <c r="B307" s="3">
        <f>IFERROR(__xludf.DUMMYFUNCTION("""COMPUTED_VALUE"""),45701.6875)</f>
        <v>45701.6875</v>
      </c>
      <c r="C307" s="4">
        <f>IFERROR(__xludf.DUMMYFUNCTION("""COMPUTED_VALUE"""),293.25)</f>
        <v>293.25</v>
      </c>
      <c r="D307" s="4">
        <f t="shared" si="2"/>
        <v>-0.04711616572</v>
      </c>
      <c r="E307" s="2"/>
    </row>
    <row r="308">
      <c r="A308" s="1" t="s">
        <v>3</v>
      </c>
      <c r="B308" s="3">
        <f>IFERROR(__xludf.DUMMYFUNCTION("""COMPUTED_VALUE"""),45702.6875)</f>
        <v>45702.6875</v>
      </c>
      <c r="C308" s="4">
        <f>IFERROR(__xludf.DUMMYFUNCTION("""COMPUTED_VALUE"""),294.6)</f>
        <v>294.6</v>
      </c>
      <c r="D308" s="4">
        <f t="shared" si="2"/>
        <v>0.004603580563</v>
      </c>
      <c r="E308" s="2"/>
    </row>
    <row r="309">
      <c r="A309" s="1" t="s">
        <v>3</v>
      </c>
      <c r="B309" s="3">
        <f>IFERROR(__xludf.DUMMYFUNCTION("""COMPUTED_VALUE"""),45705.6875)</f>
        <v>45705.6875</v>
      </c>
      <c r="C309" s="4">
        <f>IFERROR(__xludf.DUMMYFUNCTION("""COMPUTED_VALUE"""),304.4)</f>
        <v>304.4</v>
      </c>
      <c r="D309" s="4">
        <f t="shared" si="2"/>
        <v>0.03326544467</v>
      </c>
      <c r="E309" s="2"/>
    </row>
    <row r="310">
      <c r="A310" s="1" t="s">
        <v>3</v>
      </c>
      <c r="B310" s="3">
        <f>IFERROR(__xludf.DUMMYFUNCTION("""COMPUTED_VALUE"""),45706.6875)</f>
        <v>45706.6875</v>
      </c>
      <c r="C310" s="4">
        <f>IFERROR(__xludf.DUMMYFUNCTION("""COMPUTED_VALUE"""),308.2)</f>
        <v>308.2</v>
      </c>
      <c r="D310" s="4">
        <f t="shared" si="2"/>
        <v>0.01248357424</v>
      </c>
      <c r="E310" s="2"/>
    </row>
    <row r="311">
      <c r="A311" s="1" t="s">
        <v>3</v>
      </c>
      <c r="B311" s="3">
        <f>IFERROR(__xludf.DUMMYFUNCTION("""COMPUTED_VALUE"""),45707.6875)</f>
        <v>45707.6875</v>
      </c>
      <c r="C311" s="4">
        <f>IFERROR(__xludf.DUMMYFUNCTION("""COMPUTED_VALUE"""),305.95)</f>
        <v>305.95</v>
      </c>
      <c r="D311" s="4">
        <f t="shared" si="2"/>
        <v>-0.00730045425</v>
      </c>
      <c r="E311" s="2"/>
    </row>
    <row r="312">
      <c r="A312" s="1" t="s">
        <v>3</v>
      </c>
      <c r="B312" s="3">
        <f>IFERROR(__xludf.DUMMYFUNCTION("""COMPUTED_VALUE"""),45708.6875)</f>
        <v>45708.6875</v>
      </c>
      <c r="C312" s="4">
        <f>IFERROR(__xludf.DUMMYFUNCTION("""COMPUTED_VALUE"""),298.4)</f>
        <v>298.4</v>
      </c>
      <c r="D312" s="4">
        <f t="shared" si="2"/>
        <v>-0.02467723484</v>
      </c>
      <c r="E312" s="2"/>
    </row>
    <row r="313">
      <c r="A313" s="1" t="s">
        <v>3</v>
      </c>
      <c r="B313" s="3">
        <f>IFERROR(__xludf.DUMMYFUNCTION("""COMPUTED_VALUE"""),45709.6875)</f>
        <v>45709.6875</v>
      </c>
      <c r="C313" s="4">
        <f>IFERROR(__xludf.DUMMYFUNCTION("""COMPUTED_VALUE"""),303.8)</f>
        <v>303.8</v>
      </c>
      <c r="D313" s="4">
        <f t="shared" si="2"/>
        <v>0.01809651475</v>
      </c>
      <c r="E313" s="2"/>
    </row>
    <row r="314">
      <c r="A314" s="1" t="s">
        <v>3</v>
      </c>
      <c r="B314" s="3">
        <f>IFERROR(__xludf.DUMMYFUNCTION("""COMPUTED_VALUE"""),45712.6875)</f>
        <v>45712.6875</v>
      </c>
      <c r="C314" s="4">
        <f>IFERROR(__xludf.DUMMYFUNCTION("""COMPUTED_VALUE"""),298.75)</f>
        <v>298.75</v>
      </c>
      <c r="D314" s="4">
        <f t="shared" si="2"/>
        <v>-0.01662277814</v>
      </c>
      <c r="E314" s="2"/>
    </row>
    <row r="315">
      <c r="A315" s="1" t="s">
        <v>3</v>
      </c>
      <c r="B315" s="3">
        <f>IFERROR(__xludf.DUMMYFUNCTION("""COMPUTED_VALUE"""),45713.6875)</f>
        <v>45713.6875</v>
      </c>
      <c r="C315" s="4">
        <f>IFERROR(__xludf.DUMMYFUNCTION("""COMPUTED_VALUE"""),296.85)</f>
        <v>296.85</v>
      </c>
      <c r="D315" s="4">
        <f t="shared" si="2"/>
        <v>-0.006359832636</v>
      </c>
      <c r="E315" s="2"/>
    </row>
    <row r="316">
      <c r="A316" s="1" t="s">
        <v>3</v>
      </c>
      <c r="B316" s="3">
        <f>IFERROR(__xludf.DUMMYFUNCTION("""COMPUTED_VALUE"""),45714.6875)</f>
        <v>45714.6875</v>
      </c>
      <c r="C316" s="4">
        <f>IFERROR(__xludf.DUMMYFUNCTION("""COMPUTED_VALUE"""),308.95)</f>
        <v>308.95</v>
      </c>
      <c r="D316" s="4">
        <f t="shared" si="2"/>
        <v>0.04076132727</v>
      </c>
      <c r="E316" s="2"/>
    </row>
    <row r="317">
      <c r="A317" s="1" t="s">
        <v>3</v>
      </c>
      <c r="B317" s="3">
        <f>IFERROR(__xludf.DUMMYFUNCTION("""COMPUTED_VALUE"""),45715.6875)</f>
        <v>45715.6875</v>
      </c>
      <c r="C317" s="4">
        <f>IFERROR(__xludf.DUMMYFUNCTION("""COMPUTED_VALUE"""),301.05)</f>
        <v>301.05</v>
      </c>
      <c r="D317" s="4">
        <f t="shared" si="2"/>
        <v>-0.02557048066</v>
      </c>
      <c r="E317" s="2"/>
    </row>
    <row r="318">
      <c r="A318" s="1" t="s">
        <v>3</v>
      </c>
      <c r="B318" s="3">
        <f>IFERROR(__xludf.DUMMYFUNCTION("""COMPUTED_VALUE"""),45716.6875)</f>
        <v>45716.6875</v>
      </c>
      <c r="C318" s="4">
        <f>IFERROR(__xludf.DUMMYFUNCTION("""COMPUTED_VALUE"""),311.3)</f>
        <v>311.3</v>
      </c>
      <c r="D318" s="4">
        <f t="shared" si="2"/>
        <v>0.03404750042</v>
      </c>
      <c r="E318" s="2"/>
    </row>
    <row r="319">
      <c r="A319" s="1" t="s">
        <v>3</v>
      </c>
      <c r="B319" s="3">
        <f>IFERROR(__xludf.DUMMYFUNCTION("""COMPUTED_VALUE"""),45719.6875)</f>
        <v>45719.6875</v>
      </c>
      <c r="C319" s="4">
        <f>IFERROR(__xludf.DUMMYFUNCTION("""COMPUTED_VALUE"""),311.1)</f>
        <v>311.1</v>
      </c>
      <c r="D319" s="4">
        <f t="shared" si="2"/>
        <v>-0.0006424670736</v>
      </c>
      <c r="E319" s="2"/>
    </row>
    <row r="320">
      <c r="A320" s="1" t="s">
        <v>3</v>
      </c>
      <c r="B320" s="3">
        <f>IFERROR(__xludf.DUMMYFUNCTION("""COMPUTED_VALUE"""),45720.6875)</f>
        <v>45720.6875</v>
      </c>
      <c r="C320" s="4">
        <f>IFERROR(__xludf.DUMMYFUNCTION("""COMPUTED_VALUE"""),292.4)</f>
        <v>292.4</v>
      </c>
      <c r="D320" s="4">
        <f t="shared" si="2"/>
        <v>-0.06010928962</v>
      </c>
      <c r="E320" s="2"/>
    </row>
    <row r="321">
      <c r="A321" s="1" t="s">
        <v>3</v>
      </c>
      <c r="B321" s="3">
        <f>IFERROR(__xludf.DUMMYFUNCTION("""COMPUTED_VALUE"""),45721.6875)</f>
        <v>45721.6875</v>
      </c>
      <c r="C321" s="4">
        <f>IFERROR(__xludf.DUMMYFUNCTION("""COMPUTED_VALUE"""),303.45)</f>
        <v>303.45</v>
      </c>
      <c r="D321" s="4">
        <f t="shared" si="2"/>
        <v>0.03779069767</v>
      </c>
      <c r="E321" s="2"/>
    </row>
    <row r="322">
      <c r="A322" s="1" t="s">
        <v>3</v>
      </c>
      <c r="B322" s="3">
        <f>IFERROR(__xludf.DUMMYFUNCTION("""COMPUTED_VALUE"""),45722.6875)</f>
        <v>45722.6875</v>
      </c>
      <c r="C322" s="4">
        <f>IFERROR(__xludf.DUMMYFUNCTION("""COMPUTED_VALUE"""),308.4)</f>
        <v>308.4</v>
      </c>
      <c r="D322" s="4">
        <f t="shared" si="2"/>
        <v>0.01631240732</v>
      </c>
      <c r="E322" s="2"/>
    </row>
    <row r="323">
      <c r="A323" s="1" t="s">
        <v>3</v>
      </c>
      <c r="B323" s="3">
        <f>IFERROR(__xludf.DUMMYFUNCTION("""COMPUTED_VALUE"""),45723.6875)</f>
        <v>45723.6875</v>
      </c>
      <c r="C323" s="4">
        <f>IFERROR(__xludf.DUMMYFUNCTION("""COMPUTED_VALUE"""),298.75)</f>
        <v>298.75</v>
      </c>
      <c r="D323" s="4">
        <f t="shared" si="2"/>
        <v>-0.03129053178</v>
      </c>
      <c r="E323" s="2"/>
    </row>
    <row r="324">
      <c r="A324" s="1" t="s">
        <v>3</v>
      </c>
      <c r="B324" s="3">
        <f>IFERROR(__xludf.DUMMYFUNCTION("""COMPUTED_VALUE"""),45726.6875)</f>
        <v>45726.6875</v>
      </c>
      <c r="C324" s="4">
        <f>IFERROR(__xludf.DUMMYFUNCTION("""COMPUTED_VALUE"""),284.55)</f>
        <v>284.55</v>
      </c>
      <c r="D324" s="4">
        <f t="shared" si="2"/>
        <v>-0.04753138075</v>
      </c>
      <c r="E324" s="2"/>
    </row>
    <row r="325">
      <c r="A325" s="1" t="s">
        <v>3</v>
      </c>
      <c r="B325" s="3">
        <f>IFERROR(__xludf.DUMMYFUNCTION("""COMPUTED_VALUE"""),45727.6875)</f>
        <v>45727.6875</v>
      </c>
      <c r="C325" s="4">
        <f>IFERROR(__xludf.DUMMYFUNCTION("""COMPUTED_VALUE"""),283.55)</f>
        <v>283.55</v>
      </c>
      <c r="D325" s="4">
        <f t="shared" si="2"/>
        <v>-0.003514320857</v>
      </c>
      <c r="E325" s="2"/>
    </row>
    <row r="326">
      <c r="A326" s="1" t="s">
        <v>3</v>
      </c>
      <c r="B326" s="3">
        <f>IFERROR(__xludf.DUMMYFUNCTION("""COMPUTED_VALUE"""),45728.6875)</f>
        <v>45728.6875</v>
      </c>
      <c r="C326" s="4">
        <f>IFERROR(__xludf.DUMMYFUNCTION("""COMPUTED_VALUE"""),292.1)</f>
        <v>292.1</v>
      </c>
      <c r="D326" s="4">
        <f t="shared" si="2"/>
        <v>0.0301534121</v>
      </c>
      <c r="E326" s="2"/>
    </row>
    <row r="327">
      <c r="A327" s="1" t="s">
        <v>3</v>
      </c>
      <c r="B327" s="3">
        <f>IFERROR(__xludf.DUMMYFUNCTION("""COMPUTED_VALUE"""),45729.6875)</f>
        <v>45729.6875</v>
      </c>
      <c r="C327" s="4">
        <f>IFERROR(__xludf.DUMMYFUNCTION("""COMPUTED_VALUE"""),288.85)</f>
        <v>288.85</v>
      </c>
      <c r="D327" s="4">
        <f t="shared" si="2"/>
        <v>-0.0111263266</v>
      </c>
      <c r="E327" s="2"/>
    </row>
    <row r="328">
      <c r="A328" s="1" t="s">
        <v>3</v>
      </c>
      <c r="B328" s="3">
        <f>IFERROR(__xludf.DUMMYFUNCTION("""COMPUTED_VALUE"""),45730.6875)</f>
        <v>45730.6875</v>
      </c>
      <c r="C328" s="4">
        <f>IFERROR(__xludf.DUMMYFUNCTION("""COMPUTED_VALUE"""),294.75)</f>
        <v>294.75</v>
      </c>
      <c r="D328" s="4">
        <f t="shared" si="2"/>
        <v>0.02042582655</v>
      </c>
      <c r="E328" s="2"/>
    </row>
    <row r="329">
      <c r="A329" s="1" t="s">
        <v>3</v>
      </c>
      <c r="B329" s="3">
        <f>IFERROR(__xludf.DUMMYFUNCTION("""COMPUTED_VALUE"""),45733.6875)</f>
        <v>45733.6875</v>
      </c>
      <c r="C329" s="4">
        <f>IFERROR(__xludf.DUMMYFUNCTION("""COMPUTED_VALUE"""),294.85)</f>
        <v>294.85</v>
      </c>
      <c r="D329" s="4">
        <f t="shared" si="2"/>
        <v>0.0003392705683</v>
      </c>
      <c r="E329" s="2"/>
    </row>
    <row r="330">
      <c r="A330" s="1" t="s">
        <v>3</v>
      </c>
      <c r="B330" s="3">
        <f>IFERROR(__xludf.DUMMYFUNCTION("""COMPUTED_VALUE"""),45734.6875)</f>
        <v>45734.6875</v>
      </c>
      <c r="C330" s="4">
        <f>IFERROR(__xludf.DUMMYFUNCTION("""COMPUTED_VALUE"""),303.65)</f>
        <v>303.65</v>
      </c>
      <c r="D330" s="4">
        <f t="shared" si="2"/>
        <v>0.02984568425</v>
      </c>
      <c r="E330" s="2"/>
    </row>
    <row r="331">
      <c r="A331" s="1" t="s">
        <v>3</v>
      </c>
      <c r="B331" s="3">
        <f>IFERROR(__xludf.DUMMYFUNCTION("""COMPUTED_VALUE"""),45735.6875)</f>
        <v>45735.6875</v>
      </c>
      <c r="C331" s="4">
        <f>IFERROR(__xludf.DUMMYFUNCTION("""COMPUTED_VALUE"""),304.9)</f>
        <v>304.9</v>
      </c>
      <c r="D331" s="4">
        <f t="shared" si="2"/>
        <v>0.004116581591</v>
      </c>
      <c r="E331" s="2"/>
    </row>
    <row r="332">
      <c r="A332" s="1" t="s">
        <v>3</v>
      </c>
      <c r="B332" s="3">
        <f>IFERROR(__xludf.DUMMYFUNCTION("""COMPUTED_VALUE"""),45736.6875)</f>
        <v>45736.6875</v>
      </c>
      <c r="C332" s="4">
        <f>IFERROR(__xludf.DUMMYFUNCTION("""COMPUTED_VALUE"""),302.05)</f>
        <v>302.05</v>
      </c>
      <c r="D332" s="4">
        <f t="shared" si="2"/>
        <v>-0.009347326992</v>
      </c>
      <c r="E332" s="2"/>
    </row>
    <row r="333">
      <c r="A333" s="1" t="s">
        <v>3</v>
      </c>
      <c r="B333" s="3">
        <f>IFERROR(__xludf.DUMMYFUNCTION("""COMPUTED_VALUE"""),45737.6875)</f>
        <v>45737.6875</v>
      </c>
      <c r="C333" s="4">
        <f>IFERROR(__xludf.DUMMYFUNCTION("""COMPUTED_VALUE"""),297.45)</f>
        <v>297.45</v>
      </c>
      <c r="D333" s="4">
        <f t="shared" si="2"/>
        <v>-0.01522926668</v>
      </c>
      <c r="E333" s="2"/>
    </row>
    <row r="334">
      <c r="A334" s="1" t="s">
        <v>3</v>
      </c>
      <c r="B334" s="3">
        <f>IFERROR(__xludf.DUMMYFUNCTION("""COMPUTED_VALUE"""),45740.6875)</f>
        <v>45740.6875</v>
      </c>
      <c r="C334" s="4">
        <f>IFERROR(__xludf.DUMMYFUNCTION("""COMPUTED_VALUE"""),303.6)</f>
        <v>303.6</v>
      </c>
      <c r="D334" s="4">
        <f t="shared" si="2"/>
        <v>0.02067574382</v>
      </c>
      <c r="E334" s="2"/>
    </row>
    <row r="335">
      <c r="A335" s="1" t="s">
        <v>3</v>
      </c>
      <c r="B335" s="3">
        <f>IFERROR(__xludf.DUMMYFUNCTION("""COMPUTED_VALUE"""),45741.6875)</f>
        <v>45741.6875</v>
      </c>
      <c r="C335" s="4">
        <f>IFERROR(__xludf.DUMMYFUNCTION("""COMPUTED_VALUE"""),308.0)</f>
        <v>308</v>
      </c>
      <c r="D335" s="4">
        <f t="shared" si="2"/>
        <v>0.01449275362</v>
      </c>
      <c r="E335" s="2"/>
    </row>
    <row r="336">
      <c r="A336" s="1" t="s">
        <v>3</v>
      </c>
      <c r="B336" s="3">
        <f>IFERROR(__xludf.DUMMYFUNCTION("""COMPUTED_VALUE"""),45742.6875)</f>
        <v>45742.6875</v>
      </c>
      <c r="C336" s="4">
        <f>IFERROR(__xludf.DUMMYFUNCTION("""COMPUTED_VALUE"""),309.25)</f>
        <v>309.25</v>
      </c>
      <c r="D336" s="4">
        <f t="shared" si="2"/>
        <v>0.004058441558</v>
      </c>
      <c r="E336" s="2"/>
    </row>
    <row r="337">
      <c r="A337" s="1" t="s">
        <v>3</v>
      </c>
      <c r="B337" s="3">
        <f>IFERROR(__xludf.DUMMYFUNCTION("""COMPUTED_VALUE"""),45743.6875)</f>
        <v>45743.6875</v>
      </c>
      <c r="C337" s="4">
        <f>IFERROR(__xludf.DUMMYFUNCTION("""COMPUTED_VALUE"""),303.5)</f>
        <v>303.5</v>
      </c>
      <c r="D337" s="4">
        <f t="shared" si="2"/>
        <v>-0.01859337106</v>
      </c>
      <c r="E337" s="2"/>
    </row>
    <row r="338">
      <c r="A338" s="1" t="s">
        <v>3</v>
      </c>
      <c r="B338" s="3">
        <f>IFERROR(__xludf.DUMMYFUNCTION("""COMPUTED_VALUE"""),45744.6875)</f>
        <v>45744.6875</v>
      </c>
      <c r="C338" s="4">
        <f>IFERROR(__xludf.DUMMYFUNCTION("""COMPUTED_VALUE"""),293.5)</f>
        <v>293.5</v>
      </c>
      <c r="D338" s="4">
        <f t="shared" si="2"/>
        <v>-0.03294892916</v>
      </c>
      <c r="E338" s="2"/>
    </row>
    <row r="339">
      <c r="A339" s="1" t="s">
        <v>3</v>
      </c>
      <c r="B339" s="3">
        <f>IFERROR(__xludf.DUMMYFUNCTION("""COMPUTED_VALUE"""),45747.6875)</f>
        <v>45747.6875</v>
      </c>
      <c r="C339" s="4">
        <f>IFERROR(__xludf.DUMMYFUNCTION("""COMPUTED_VALUE"""),287.8)</f>
        <v>287.8</v>
      </c>
      <c r="D339" s="4">
        <f t="shared" si="2"/>
        <v>-0.01942078365</v>
      </c>
      <c r="E339" s="2"/>
    </row>
    <row r="340">
      <c r="A340" s="1" t="s">
        <v>3</v>
      </c>
      <c r="B340" s="3">
        <f>IFERROR(__xludf.DUMMYFUNCTION("""COMPUTED_VALUE"""),45748.6875)</f>
        <v>45748.6875</v>
      </c>
      <c r="C340" s="4">
        <f>IFERROR(__xludf.DUMMYFUNCTION("""COMPUTED_VALUE"""),293.9)</f>
        <v>293.9</v>
      </c>
      <c r="D340" s="4">
        <f t="shared" si="2"/>
        <v>0.0211952745</v>
      </c>
      <c r="E340" s="2"/>
    </row>
    <row r="341">
      <c r="A341" s="1" t="s">
        <v>3</v>
      </c>
      <c r="B341" s="3">
        <f>IFERROR(__xludf.DUMMYFUNCTION("""COMPUTED_VALUE"""),45749.6875)</f>
        <v>45749.6875</v>
      </c>
      <c r="C341" s="4">
        <f>IFERROR(__xludf.DUMMYFUNCTION("""COMPUTED_VALUE"""),296.75)</f>
        <v>296.75</v>
      </c>
      <c r="D341" s="4">
        <f t="shared" si="2"/>
        <v>0.00969717591</v>
      </c>
      <c r="E341" s="2"/>
    </row>
    <row r="342">
      <c r="A342" s="1" t="s">
        <v>3</v>
      </c>
      <c r="B342" s="3">
        <f>IFERROR(__xludf.DUMMYFUNCTION("""COMPUTED_VALUE"""),45750.6875)</f>
        <v>45750.6875</v>
      </c>
      <c r="C342" s="4">
        <f>IFERROR(__xludf.DUMMYFUNCTION("""COMPUTED_VALUE"""),270.9)</f>
        <v>270.9</v>
      </c>
      <c r="D342" s="4">
        <f t="shared" si="2"/>
        <v>-0.08711036226</v>
      </c>
      <c r="E342" s="2"/>
    </row>
    <row r="343">
      <c r="A343" s="1" t="s">
        <v>3</v>
      </c>
      <c r="B343" s="3">
        <f>IFERROR(__xludf.DUMMYFUNCTION("""COMPUTED_VALUE"""),45751.6875)</f>
        <v>45751.6875</v>
      </c>
      <c r="C343" s="4">
        <f>IFERROR(__xludf.DUMMYFUNCTION("""COMPUTED_VALUE"""),250.05)</f>
        <v>250.05</v>
      </c>
      <c r="D343" s="4">
        <f t="shared" si="2"/>
        <v>-0.07696566999</v>
      </c>
      <c r="E343" s="2"/>
    </row>
    <row r="344">
      <c r="A344" s="1" t="s">
        <v>3</v>
      </c>
      <c r="B344" s="3">
        <f>IFERROR(__xludf.DUMMYFUNCTION("""COMPUTED_VALUE"""),45754.6875)</f>
        <v>45754.6875</v>
      </c>
      <c r="C344" s="4">
        <f>IFERROR(__xludf.DUMMYFUNCTION("""COMPUTED_VALUE"""),241.85)</f>
        <v>241.85</v>
      </c>
      <c r="D344" s="4">
        <f t="shared" si="2"/>
        <v>-0.03279344131</v>
      </c>
      <c r="E344" s="2"/>
    </row>
    <row r="345">
      <c r="A345" s="1" t="s">
        <v>3</v>
      </c>
      <c r="B345" s="3">
        <f>IFERROR(__xludf.DUMMYFUNCTION("""COMPUTED_VALUE"""),45755.6875)</f>
        <v>45755.6875</v>
      </c>
      <c r="C345" s="4">
        <f>IFERROR(__xludf.DUMMYFUNCTION("""COMPUTED_VALUE"""),254.05)</f>
        <v>254.05</v>
      </c>
      <c r="D345" s="4">
        <f t="shared" si="2"/>
        <v>0.05044449039</v>
      </c>
      <c r="E345" s="2"/>
    </row>
    <row r="346">
      <c r="A346" s="1" t="s">
        <v>3</v>
      </c>
      <c r="B346" s="3">
        <f>IFERROR(__xludf.DUMMYFUNCTION("""COMPUTED_VALUE"""),45756.6875)</f>
        <v>45756.6875</v>
      </c>
      <c r="C346" s="4">
        <f>IFERROR(__xludf.DUMMYFUNCTION("""COMPUTED_VALUE"""),241.65)</f>
        <v>241.65</v>
      </c>
      <c r="D346" s="4">
        <f t="shared" si="2"/>
        <v>-0.04880928951</v>
      </c>
      <c r="E346" s="2"/>
    </row>
    <row r="347">
      <c r="A347" s="1" t="s">
        <v>3</v>
      </c>
      <c r="B347" s="3">
        <f>IFERROR(__xludf.DUMMYFUNCTION("""COMPUTED_VALUE"""),45757.6875)</f>
        <v>45757.6875</v>
      </c>
      <c r="C347" s="4">
        <f>IFERROR(__xludf.DUMMYFUNCTION("""COMPUTED_VALUE"""),260.25)</f>
        <v>260.25</v>
      </c>
      <c r="D347" s="4">
        <f t="shared" si="2"/>
        <v>0.07697082557</v>
      </c>
      <c r="E347" s="2"/>
    </row>
    <row r="348">
      <c r="A348" s="1" t="s">
        <v>3</v>
      </c>
      <c r="B348" s="3">
        <f>IFERROR(__xludf.DUMMYFUNCTION("""COMPUTED_VALUE"""),45758.6875)</f>
        <v>45758.6875</v>
      </c>
      <c r="C348" s="4">
        <f>IFERROR(__xludf.DUMMYFUNCTION("""COMPUTED_VALUE"""),257.95)</f>
        <v>257.95</v>
      </c>
      <c r="D348" s="4">
        <f t="shared" si="2"/>
        <v>-0.0088376561</v>
      </c>
      <c r="E348" s="2"/>
    </row>
    <row r="349">
      <c r="A349" s="1" t="s">
        <v>3</v>
      </c>
      <c r="B349" s="3">
        <f>IFERROR(__xludf.DUMMYFUNCTION("""COMPUTED_VALUE"""),45761.6875)</f>
        <v>45761.6875</v>
      </c>
      <c r="C349" s="4">
        <f>IFERROR(__xludf.DUMMYFUNCTION("""COMPUTED_VALUE"""),270.4)</f>
        <v>270.4</v>
      </c>
      <c r="D349" s="4">
        <f t="shared" si="2"/>
        <v>0.04826516767</v>
      </c>
      <c r="E349" s="2"/>
    </row>
    <row r="350">
      <c r="A350" s="1" t="s">
        <v>3</v>
      </c>
      <c r="B350" s="3">
        <f>IFERROR(__xludf.DUMMYFUNCTION("""COMPUTED_VALUE"""),45762.6875)</f>
        <v>45762.6875</v>
      </c>
      <c r="C350" s="4">
        <f>IFERROR(__xludf.DUMMYFUNCTION("""COMPUTED_VALUE"""),279.2)</f>
        <v>279.2</v>
      </c>
      <c r="D350" s="4">
        <f t="shared" si="2"/>
        <v>0.0325443787</v>
      </c>
      <c r="E350" s="2"/>
    </row>
    <row r="351">
      <c r="A351" s="1" t="s">
        <v>3</v>
      </c>
      <c r="B351" s="3">
        <f>IFERROR(__xludf.DUMMYFUNCTION("""COMPUTED_VALUE"""),45763.6875)</f>
        <v>45763.6875</v>
      </c>
      <c r="C351" s="4">
        <f>IFERROR(__xludf.DUMMYFUNCTION("""COMPUTED_VALUE"""),278.0)</f>
        <v>278</v>
      </c>
      <c r="D351" s="4">
        <f t="shared" si="2"/>
        <v>-0.004297994269</v>
      </c>
      <c r="E351" s="2"/>
    </row>
    <row r="352">
      <c r="A352" s="1" t="s">
        <v>3</v>
      </c>
      <c r="B352" s="3">
        <f>IFERROR(__xludf.DUMMYFUNCTION("""COMPUTED_VALUE"""),45764.6875)</f>
        <v>45764.6875</v>
      </c>
      <c r="C352" s="4">
        <f>IFERROR(__xludf.DUMMYFUNCTION("""COMPUTED_VALUE"""),277.3)</f>
        <v>277.3</v>
      </c>
      <c r="D352" s="4">
        <f t="shared" si="2"/>
        <v>-0.002517985612</v>
      </c>
      <c r="E352" s="2"/>
    </row>
    <row r="353">
      <c r="A353" s="1" t="s">
        <v>3</v>
      </c>
      <c r="B353" s="3">
        <f>IFERROR(__xludf.DUMMYFUNCTION("""COMPUTED_VALUE"""),45769.6875)</f>
        <v>45769.6875</v>
      </c>
      <c r="C353" s="4">
        <f>IFERROR(__xludf.DUMMYFUNCTION("""COMPUTED_VALUE"""),280.0)</f>
        <v>280</v>
      </c>
      <c r="D353" s="4">
        <f t="shared" si="2"/>
        <v>0.009736747205</v>
      </c>
      <c r="E353" s="2"/>
    </row>
    <row r="354">
      <c r="A354" s="1" t="s">
        <v>3</v>
      </c>
      <c r="B354" s="3">
        <f>IFERROR(__xludf.DUMMYFUNCTION("""COMPUTED_VALUE"""),45770.6875)</f>
        <v>45770.6875</v>
      </c>
      <c r="C354" s="4">
        <f>IFERROR(__xludf.DUMMYFUNCTION("""COMPUTED_VALUE"""),293.75)</f>
        <v>293.75</v>
      </c>
      <c r="D354" s="4">
        <f t="shared" si="2"/>
        <v>0.04910714286</v>
      </c>
      <c r="E354" s="2"/>
    </row>
    <row r="355">
      <c r="A355" s="1" t="s">
        <v>3</v>
      </c>
      <c r="B355" s="3">
        <f>IFERROR(__xludf.DUMMYFUNCTION("""COMPUTED_VALUE"""),45771.6875)</f>
        <v>45771.6875</v>
      </c>
      <c r="C355" s="4">
        <f>IFERROR(__xludf.DUMMYFUNCTION("""COMPUTED_VALUE"""),289.6)</f>
        <v>289.6</v>
      </c>
      <c r="D355" s="4">
        <f t="shared" si="2"/>
        <v>-0.01412765957</v>
      </c>
      <c r="E355" s="2"/>
    </row>
    <row r="356">
      <c r="A356" s="1" t="s">
        <v>3</v>
      </c>
      <c r="B356" s="3">
        <f>IFERROR(__xludf.DUMMYFUNCTION("""COMPUTED_VALUE"""),45772.6875)</f>
        <v>45772.6875</v>
      </c>
      <c r="C356" s="4">
        <f>IFERROR(__xludf.DUMMYFUNCTION("""COMPUTED_VALUE"""),292.85)</f>
        <v>292.85</v>
      </c>
      <c r="D356" s="4">
        <f t="shared" si="2"/>
        <v>0.01122237569</v>
      </c>
      <c r="E356" s="2"/>
    </row>
    <row r="357">
      <c r="A357" s="1" t="s">
        <v>3</v>
      </c>
      <c r="B357" s="3">
        <f>IFERROR(__xludf.DUMMYFUNCTION("""COMPUTED_VALUE"""),45775.6875)</f>
        <v>45775.6875</v>
      </c>
      <c r="C357" s="4">
        <f>IFERROR(__xludf.DUMMYFUNCTION("""COMPUTED_VALUE"""),295.1)</f>
        <v>295.1</v>
      </c>
      <c r="D357" s="4">
        <f t="shared" si="2"/>
        <v>0.007683114222</v>
      </c>
      <c r="E357" s="2"/>
    </row>
    <row r="358">
      <c r="A358" s="1" t="s">
        <v>3</v>
      </c>
      <c r="B358" s="3">
        <f>IFERROR(__xludf.DUMMYFUNCTION("""COMPUTED_VALUE"""),45776.6875)</f>
        <v>45776.6875</v>
      </c>
      <c r="C358" s="4">
        <f>IFERROR(__xludf.DUMMYFUNCTION("""COMPUTED_VALUE"""),298.0)</f>
        <v>298</v>
      </c>
      <c r="D358" s="4">
        <f t="shared" si="2"/>
        <v>0.009827177228</v>
      </c>
      <c r="E358" s="2"/>
    </row>
    <row r="359">
      <c r="A359" s="1" t="s">
        <v>3</v>
      </c>
      <c r="B359" s="3">
        <f>IFERROR(__xludf.DUMMYFUNCTION("""COMPUTED_VALUE"""),45777.6875)</f>
        <v>45777.6875</v>
      </c>
      <c r="C359" s="4">
        <f>IFERROR(__xludf.DUMMYFUNCTION("""COMPUTED_VALUE"""),296.8)</f>
        <v>296.8</v>
      </c>
      <c r="D359" s="4">
        <f t="shared" si="2"/>
        <v>-0.004026845638</v>
      </c>
      <c r="E359" s="2"/>
    </row>
    <row r="360">
      <c r="A360" s="1" t="s">
        <v>3</v>
      </c>
      <c r="B360" s="3">
        <f>IFERROR(__xludf.DUMMYFUNCTION("""COMPUTED_VALUE"""),45778.6875)</f>
        <v>45778.6875</v>
      </c>
      <c r="C360" s="4">
        <f>IFERROR(__xludf.DUMMYFUNCTION("""COMPUTED_VALUE"""),294.8)</f>
        <v>294.8</v>
      </c>
      <c r="D360" s="4">
        <f t="shared" si="2"/>
        <v>-0.006738544474</v>
      </c>
      <c r="E360" s="2"/>
    </row>
    <row r="361">
      <c r="A361" s="1" t="s">
        <v>3</v>
      </c>
      <c r="B361" s="3">
        <f>IFERROR(__xludf.DUMMYFUNCTION("""COMPUTED_VALUE"""),45779.6875)</f>
        <v>45779.6875</v>
      </c>
      <c r="C361" s="4">
        <f>IFERROR(__xludf.DUMMYFUNCTION("""COMPUTED_VALUE"""),301.05)</f>
        <v>301.05</v>
      </c>
      <c r="D361" s="4">
        <f t="shared" si="2"/>
        <v>0.02120081411</v>
      </c>
      <c r="E361" s="2"/>
    </row>
    <row r="362">
      <c r="A362" s="1" t="s">
        <v>3</v>
      </c>
      <c r="B362" s="3">
        <f>IFERROR(__xludf.DUMMYFUNCTION("""COMPUTED_VALUE"""),45783.6875)</f>
        <v>45783.6875</v>
      </c>
      <c r="C362" s="4">
        <f>IFERROR(__xludf.DUMMYFUNCTION("""COMPUTED_VALUE"""),298.1)</f>
        <v>298.1</v>
      </c>
      <c r="D362" s="4">
        <f t="shared" si="2"/>
        <v>-0.009799036705</v>
      </c>
      <c r="E362" s="2"/>
    </row>
    <row r="363">
      <c r="A363" s="1" t="s">
        <v>3</v>
      </c>
      <c r="B363" s="3">
        <f>IFERROR(__xludf.DUMMYFUNCTION("""COMPUTED_VALUE"""),45784.6875)</f>
        <v>45784.6875</v>
      </c>
      <c r="C363" s="4">
        <f>IFERROR(__xludf.DUMMYFUNCTION("""COMPUTED_VALUE"""),296.15)</f>
        <v>296.15</v>
      </c>
      <c r="D363" s="4">
        <f t="shared" si="2"/>
        <v>-0.006541429051</v>
      </c>
      <c r="E363" s="2"/>
    </row>
    <row r="364">
      <c r="A364" s="1" t="s">
        <v>3</v>
      </c>
      <c r="B364" s="3">
        <f>IFERROR(__xludf.DUMMYFUNCTION("""COMPUTED_VALUE"""),45785.6875)</f>
        <v>45785.6875</v>
      </c>
      <c r="C364" s="4">
        <f>IFERROR(__xludf.DUMMYFUNCTION("""COMPUTED_VALUE"""),305.05)</f>
        <v>305.05</v>
      </c>
      <c r="D364" s="4">
        <f t="shared" si="2"/>
        <v>0.03005233834</v>
      </c>
      <c r="E364" s="2"/>
    </row>
    <row r="365">
      <c r="A365" s="1" t="s">
        <v>3</v>
      </c>
      <c r="B365" s="3">
        <f>IFERROR(__xludf.DUMMYFUNCTION("""COMPUTED_VALUE"""),45786.6875)</f>
        <v>45786.6875</v>
      </c>
      <c r="C365" s="4">
        <f>IFERROR(__xludf.DUMMYFUNCTION("""COMPUTED_VALUE"""),307.0)</f>
        <v>307</v>
      </c>
      <c r="D365" s="4">
        <f t="shared" si="2"/>
        <v>0.006392394689</v>
      </c>
      <c r="E365" s="2"/>
    </row>
    <row r="366">
      <c r="A366" s="1" t="s">
        <v>3</v>
      </c>
      <c r="B366" s="3">
        <f>IFERROR(__xludf.DUMMYFUNCTION("""COMPUTED_VALUE"""),45789.6875)</f>
        <v>45789.6875</v>
      </c>
      <c r="C366" s="4">
        <f>IFERROR(__xludf.DUMMYFUNCTION("""COMPUTED_VALUE"""),313.3)</f>
        <v>313.3</v>
      </c>
      <c r="D366" s="4">
        <f t="shared" si="2"/>
        <v>0.02052117264</v>
      </c>
      <c r="E366" s="2"/>
    </row>
    <row r="367">
      <c r="A367" s="1" t="s">
        <v>3</v>
      </c>
      <c r="B367" s="3">
        <f>IFERROR(__xludf.DUMMYFUNCTION("""COMPUTED_VALUE"""),45790.6875)</f>
        <v>45790.6875</v>
      </c>
      <c r="C367" s="4">
        <f>IFERROR(__xludf.DUMMYFUNCTION("""COMPUTED_VALUE"""),316.85)</f>
        <v>316.85</v>
      </c>
      <c r="D367" s="4">
        <f t="shared" si="2"/>
        <v>0.01133099266</v>
      </c>
      <c r="E367" s="2"/>
    </row>
    <row r="368">
      <c r="A368" s="1" t="s">
        <v>3</v>
      </c>
      <c r="B368" s="3">
        <f>IFERROR(__xludf.DUMMYFUNCTION("""COMPUTED_VALUE"""),45791.6875)</f>
        <v>45791.6875</v>
      </c>
      <c r="C368" s="4">
        <f>IFERROR(__xludf.DUMMYFUNCTION("""COMPUTED_VALUE"""),320.3)</f>
        <v>320.3</v>
      </c>
      <c r="D368" s="4">
        <f t="shared" si="2"/>
        <v>0.01088843301</v>
      </c>
      <c r="E368" s="2"/>
    </row>
    <row r="369">
      <c r="A369" s="1" t="s">
        <v>3</v>
      </c>
      <c r="B369" s="3">
        <f>IFERROR(__xludf.DUMMYFUNCTION("""COMPUTED_VALUE"""),45792.6875)</f>
        <v>45792.6875</v>
      </c>
      <c r="C369" s="4">
        <f>IFERROR(__xludf.DUMMYFUNCTION("""COMPUTED_VALUE"""),322.3)</f>
        <v>322.3</v>
      </c>
      <c r="D369" s="4">
        <f t="shared" si="2"/>
        <v>0.006244146113</v>
      </c>
      <c r="E369" s="2"/>
    </row>
    <row r="370">
      <c r="A370" s="1" t="s">
        <v>3</v>
      </c>
      <c r="B370" s="3">
        <f>IFERROR(__xludf.DUMMYFUNCTION("""COMPUTED_VALUE"""),45793.6875)</f>
        <v>45793.6875</v>
      </c>
      <c r="C370" s="4">
        <f>IFERROR(__xludf.DUMMYFUNCTION("""COMPUTED_VALUE"""),325.5)</f>
        <v>325.5</v>
      </c>
      <c r="D370" s="4">
        <f t="shared" si="2"/>
        <v>0.009928637915</v>
      </c>
      <c r="E370" s="2"/>
    </row>
    <row r="371">
      <c r="A371" s="1" t="s">
        <v>3</v>
      </c>
      <c r="B371" s="3">
        <f>IFERROR(__xludf.DUMMYFUNCTION("""COMPUTED_VALUE"""),45796.6875)</f>
        <v>45796.6875</v>
      </c>
      <c r="C371" s="4">
        <f>IFERROR(__xludf.DUMMYFUNCTION("""COMPUTED_VALUE"""),325.7)</f>
        <v>325.7</v>
      </c>
      <c r="D371" s="4">
        <f t="shared" si="2"/>
        <v>0.0006144393241</v>
      </c>
      <c r="E371" s="2"/>
    </row>
    <row r="372">
      <c r="A372" s="1" t="s">
        <v>3</v>
      </c>
      <c r="B372" s="3">
        <f>IFERROR(__xludf.DUMMYFUNCTION("""COMPUTED_VALUE"""),45797.6875)</f>
        <v>45797.6875</v>
      </c>
      <c r="C372" s="4">
        <f>IFERROR(__xludf.DUMMYFUNCTION("""COMPUTED_VALUE"""),329.6)</f>
        <v>329.6</v>
      </c>
      <c r="D372" s="4">
        <f t="shared" si="2"/>
        <v>0.0119742094</v>
      </c>
      <c r="E372" s="2"/>
    </row>
    <row r="373">
      <c r="A373" s="1" t="s">
        <v>3</v>
      </c>
      <c r="B373" s="3">
        <f>IFERROR(__xludf.DUMMYFUNCTION("""COMPUTED_VALUE"""),45798.6875)</f>
        <v>45798.6875</v>
      </c>
      <c r="C373" s="4">
        <f>IFERROR(__xludf.DUMMYFUNCTION("""COMPUTED_VALUE"""),328.0)</f>
        <v>328</v>
      </c>
      <c r="D373" s="4">
        <f t="shared" si="2"/>
        <v>-0.004854368932</v>
      </c>
      <c r="E373" s="2"/>
    </row>
    <row r="374">
      <c r="A374" s="1" t="s">
        <v>3</v>
      </c>
      <c r="B374" s="3">
        <f>IFERROR(__xludf.DUMMYFUNCTION("""COMPUTED_VALUE"""),45799.6875)</f>
        <v>45799.6875</v>
      </c>
      <c r="C374" s="4">
        <f>IFERROR(__xludf.DUMMYFUNCTION("""COMPUTED_VALUE"""),326.65)</f>
        <v>326.65</v>
      </c>
      <c r="D374" s="4">
        <f t="shared" si="2"/>
        <v>-0.004115853659</v>
      </c>
      <c r="E374" s="2"/>
    </row>
    <row r="375">
      <c r="A375" s="1" t="s">
        <v>3</v>
      </c>
      <c r="B375" s="3">
        <f>IFERROR(__xludf.DUMMYFUNCTION("""COMPUTED_VALUE"""),45800.6875)</f>
        <v>45800.6875</v>
      </c>
      <c r="C375" s="4">
        <f>IFERROR(__xludf.DUMMYFUNCTION("""COMPUTED_VALUE"""),323.3)</f>
        <v>323.3</v>
      </c>
      <c r="D375" s="4">
        <f t="shared" si="2"/>
        <v>-0.01025562529</v>
      </c>
      <c r="E375" s="2"/>
    </row>
    <row r="376">
      <c r="A376" s="1" t="s">
        <v>3</v>
      </c>
      <c r="B376" s="3">
        <f>IFERROR(__xludf.DUMMYFUNCTION("""COMPUTED_VALUE"""),45804.6875)</f>
        <v>45804.6875</v>
      </c>
      <c r="C376" s="4">
        <f>IFERROR(__xludf.DUMMYFUNCTION("""COMPUTED_VALUE"""),328.1)</f>
        <v>328.1</v>
      </c>
      <c r="D376" s="4">
        <f t="shared" si="2"/>
        <v>0.01484689143</v>
      </c>
      <c r="E376" s="2"/>
    </row>
    <row r="377">
      <c r="A377" s="1" t="s">
        <v>3</v>
      </c>
      <c r="B377" s="3">
        <f>IFERROR(__xludf.DUMMYFUNCTION("""COMPUTED_VALUE"""),45805.6875)</f>
        <v>45805.6875</v>
      </c>
      <c r="C377" s="4">
        <f>IFERROR(__xludf.DUMMYFUNCTION("""COMPUTED_VALUE"""),323.95)</f>
        <v>323.95</v>
      </c>
      <c r="D377" s="4">
        <f t="shared" si="2"/>
        <v>-0.01264858275</v>
      </c>
      <c r="E377" s="2"/>
    </row>
    <row r="378">
      <c r="A378" s="1" t="s">
        <v>3</v>
      </c>
      <c r="B378" s="3">
        <f>IFERROR(__xludf.DUMMYFUNCTION("""COMPUTED_VALUE"""),45806.6875)</f>
        <v>45806.6875</v>
      </c>
      <c r="C378" s="4">
        <f>IFERROR(__xludf.DUMMYFUNCTION("""COMPUTED_VALUE"""),326.05)</f>
        <v>326.05</v>
      </c>
      <c r="D378" s="4">
        <f t="shared" si="2"/>
        <v>0.006482481864</v>
      </c>
      <c r="E378" s="2"/>
    </row>
    <row r="379">
      <c r="A379" s="1" t="s">
        <v>3</v>
      </c>
      <c r="B379" s="3">
        <f>IFERROR(__xludf.DUMMYFUNCTION("""COMPUTED_VALUE"""),45807.6875)</f>
        <v>45807.6875</v>
      </c>
      <c r="C379" s="4">
        <f>IFERROR(__xludf.DUMMYFUNCTION("""COMPUTED_VALUE"""),327.5)</f>
        <v>327.5</v>
      </c>
      <c r="D379" s="4">
        <f t="shared" si="2"/>
        <v>0.004447170679</v>
      </c>
      <c r="E379" s="2"/>
    </row>
    <row r="380">
      <c r="A380" s="1" t="s">
        <v>3</v>
      </c>
      <c r="B380" s="3">
        <f>IFERROR(__xludf.DUMMYFUNCTION("""COMPUTED_VALUE"""),45810.6875)</f>
        <v>45810.6875</v>
      </c>
      <c r="C380" s="4">
        <f>IFERROR(__xludf.DUMMYFUNCTION("""COMPUTED_VALUE"""),327.05)</f>
        <v>327.05</v>
      </c>
      <c r="D380" s="4">
        <f t="shared" si="2"/>
        <v>-0.001374045802</v>
      </c>
      <c r="E380" s="2"/>
    </row>
    <row r="381">
      <c r="A381" s="1" t="s">
        <v>3</v>
      </c>
      <c r="B381" s="3">
        <f>IFERROR(__xludf.DUMMYFUNCTION("""COMPUTED_VALUE"""),45811.6875)</f>
        <v>45811.6875</v>
      </c>
      <c r="C381" s="4">
        <f>IFERROR(__xludf.DUMMYFUNCTION("""COMPUTED_VALUE"""),329.25)</f>
        <v>329.25</v>
      </c>
      <c r="D381" s="4">
        <f t="shared" si="2"/>
        <v>0.006726800183</v>
      </c>
      <c r="E381" s="2"/>
    </row>
    <row r="382">
      <c r="A382" s="1" t="s">
        <v>3</v>
      </c>
      <c r="B382" s="3">
        <f>IFERROR(__xludf.DUMMYFUNCTION("""COMPUTED_VALUE"""),45812.6875)</f>
        <v>45812.6875</v>
      </c>
      <c r="C382" s="4">
        <f>IFERROR(__xludf.DUMMYFUNCTION("""COMPUTED_VALUE"""),325.95)</f>
        <v>325.95</v>
      </c>
      <c r="D382" s="4">
        <f t="shared" si="2"/>
        <v>-0.01002277904</v>
      </c>
      <c r="E382" s="2"/>
    </row>
    <row r="383">
      <c r="A383" s="1" t="s">
        <v>3</v>
      </c>
      <c r="B383" s="3">
        <f>IFERROR(__xludf.DUMMYFUNCTION("""COMPUTED_VALUE"""),45813.6875)</f>
        <v>45813.6875</v>
      </c>
      <c r="C383" s="4">
        <f>IFERROR(__xludf.DUMMYFUNCTION("""COMPUTED_VALUE"""),327.05)</f>
        <v>327.05</v>
      </c>
      <c r="D383" s="4">
        <f t="shared" si="2"/>
        <v>0.003374750729</v>
      </c>
      <c r="E383" s="2"/>
    </row>
    <row r="384">
      <c r="A384" s="1" t="s">
        <v>3</v>
      </c>
      <c r="B384" s="3">
        <f>IFERROR(__xludf.DUMMYFUNCTION("""COMPUTED_VALUE"""),45814.6875)</f>
        <v>45814.6875</v>
      </c>
      <c r="C384" s="4">
        <f>IFERROR(__xludf.DUMMYFUNCTION("""COMPUTED_VALUE"""),333.2)</f>
        <v>333.2</v>
      </c>
      <c r="D384" s="4">
        <f t="shared" si="2"/>
        <v>0.01880446415</v>
      </c>
      <c r="E384" s="2"/>
    </row>
    <row r="385">
      <c r="A385" s="1" t="s">
        <v>3</v>
      </c>
      <c r="B385" s="3">
        <f>IFERROR(__xludf.DUMMYFUNCTION("""COMPUTED_VALUE"""),45817.6875)</f>
        <v>45817.6875</v>
      </c>
      <c r="C385" s="4">
        <f>IFERROR(__xludf.DUMMYFUNCTION("""COMPUTED_VALUE"""),332.45)</f>
        <v>332.45</v>
      </c>
      <c r="D385" s="4">
        <f t="shared" si="2"/>
        <v>-0.00225090036</v>
      </c>
      <c r="E385" s="2"/>
    </row>
    <row r="386">
      <c r="A386" s="1" t="s">
        <v>3</v>
      </c>
      <c r="B386" s="3">
        <f>IFERROR(__xludf.DUMMYFUNCTION("""COMPUTED_VALUE"""),45818.6875)</f>
        <v>45818.6875</v>
      </c>
      <c r="C386" s="4">
        <f>IFERROR(__xludf.DUMMYFUNCTION("""COMPUTED_VALUE"""),323.35)</f>
        <v>323.35</v>
      </c>
      <c r="D386" s="4">
        <f t="shared" si="2"/>
        <v>-0.02737253722</v>
      </c>
      <c r="E386" s="2"/>
    </row>
    <row r="387">
      <c r="A387" s="1" t="s">
        <v>3</v>
      </c>
      <c r="B387" s="3">
        <f>IFERROR(__xludf.DUMMYFUNCTION("""COMPUTED_VALUE"""),45819.6875)</f>
        <v>45819.6875</v>
      </c>
      <c r="C387" s="4">
        <f>IFERROR(__xludf.DUMMYFUNCTION("""COMPUTED_VALUE"""),323.0)</f>
        <v>323</v>
      </c>
      <c r="D387" s="4">
        <f t="shared" si="2"/>
        <v>-0.001082418432</v>
      </c>
      <c r="E387" s="2"/>
    </row>
    <row r="388">
      <c r="A388" s="1" t="s">
        <v>3</v>
      </c>
      <c r="B388" s="3">
        <f>IFERROR(__xludf.DUMMYFUNCTION("""COMPUTED_VALUE"""),45820.6875)</f>
        <v>45820.6875</v>
      </c>
      <c r="C388" s="4">
        <f>IFERROR(__xludf.DUMMYFUNCTION("""COMPUTED_VALUE"""),323.95)</f>
        <v>323.95</v>
      </c>
      <c r="D388" s="4">
        <f t="shared" si="2"/>
        <v>0.002941176471</v>
      </c>
      <c r="E388" s="2"/>
    </row>
    <row r="389">
      <c r="A389" s="1" t="s">
        <v>3</v>
      </c>
      <c r="B389" s="3">
        <f>IFERROR(__xludf.DUMMYFUNCTION("""COMPUTED_VALUE"""),45821.6875)</f>
        <v>45821.6875</v>
      </c>
      <c r="C389" s="4">
        <f>IFERROR(__xludf.DUMMYFUNCTION("""COMPUTED_VALUE"""),319.3)</f>
        <v>319.3</v>
      </c>
      <c r="D389" s="4">
        <f t="shared" si="2"/>
        <v>-0.01435406699</v>
      </c>
      <c r="E389" s="2"/>
    </row>
    <row r="390">
      <c r="A390" s="1" t="s">
        <v>3</v>
      </c>
      <c r="B390" s="3">
        <f>IFERROR(__xludf.DUMMYFUNCTION("""COMPUTED_VALUE"""),45824.6875)</f>
        <v>45824.6875</v>
      </c>
      <c r="C390" s="4">
        <f>IFERROR(__xludf.DUMMYFUNCTION("""COMPUTED_VALUE"""),325.6)</f>
        <v>325.6</v>
      </c>
      <c r="D390" s="4">
        <f t="shared" si="2"/>
        <v>0.01973066082</v>
      </c>
      <c r="E390" s="2"/>
    </row>
    <row r="391">
      <c r="A391" s="1" t="s">
        <v>3</v>
      </c>
      <c r="B391" s="3">
        <f>IFERROR(__xludf.DUMMYFUNCTION("""COMPUTED_VALUE"""),45825.6875)</f>
        <v>45825.6875</v>
      </c>
      <c r="C391" s="4">
        <f>IFERROR(__xludf.DUMMYFUNCTION("""COMPUTED_VALUE"""),321.75)</f>
        <v>321.75</v>
      </c>
      <c r="D391" s="4">
        <f t="shared" si="2"/>
        <v>-0.01182432432</v>
      </c>
      <c r="E391" s="2"/>
    </row>
    <row r="392">
      <c r="A392" s="1" t="s">
        <v>3</v>
      </c>
      <c r="B392" s="3">
        <f>IFERROR(__xludf.DUMMYFUNCTION("""COMPUTED_VALUE"""),45826.6875)</f>
        <v>45826.6875</v>
      </c>
      <c r="C392" s="4">
        <f>IFERROR(__xludf.DUMMYFUNCTION("""COMPUTED_VALUE"""),325.15)</f>
        <v>325.15</v>
      </c>
      <c r="D392" s="4">
        <f t="shared" si="2"/>
        <v>0.01056721057</v>
      </c>
      <c r="E392" s="2"/>
    </row>
    <row r="393">
      <c r="A393" s="1" t="s">
        <v>3</v>
      </c>
      <c r="B393" s="3">
        <f>IFERROR(__xludf.DUMMYFUNCTION("""COMPUTED_VALUE"""),45827.6875)</f>
        <v>45827.6875</v>
      </c>
      <c r="C393" s="4">
        <f>IFERROR(__xludf.DUMMYFUNCTION("""COMPUTED_VALUE"""),319.75)</f>
        <v>319.75</v>
      </c>
      <c r="D393" s="4">
        <f t="shared" si="2"/>
        <v>-0.01660771951</v>
      </c>
      <c r="E393" s="2"/>
    </row>
    <row r="394">
      <c r="A394" s="1" t="s">
        <v>3</v>
      </c>
      <c r="B394" s="3">
        <f>IFERROR(__xludf.DUMMYFUNCTION("""COMPUTED_VALUE"""),45828.6875)</f>
        <v>45828.6875</v>
      </c>
      <c r="C394" s="4">
        <f>IFERROR(__xludf.DUMMYFUNCTION("""COMPUTED_VALUE"""),324.0)</f>
        <v>324</v>
      </c>
      <c r="D394" s="4">
        <f t="shared" si="2"/>
        <v>0.01329163409</v>
      </c>
      <c r="E394" s="2"/>
    </row>
    <row r="395">
      <c r="A395" s="1" t="s">
        <v>3</v>
      </c>
      <c r="B395" s="3">
        <f>IFERROR(__xludf.DUMMYFUNCTION("""COMPUTED_VALUE"""),45831.6875)</f>
        <v>45831.6875</v>
      </c>
      <c r="C395" s="4">
        <f>IFERROR(__xludf.DUMMYFUNCTION("""COMPUTED_VALUE"""),318.65)</f>
        <v>318.65</v>
      </c>
      <c r="D395" s="4">
        <f t="shared" si="2"/>
        <v>-0.01651234568</v>
      </c>
      <c r="E395" s="2"/>
    </row>
    <row r="396">
      <c r="A396" s="1" t="s">
        <v>3</v>
      </c>
      <c r="B396" s="3">
        <f>IFERROR(__xludf.DUMMYFUNCTION("""COMPUTED_VALUE"""),45832.6875)</f>
        <v>45832.6875</v>
      </c>
      <c r="C396" s="4">
        <f>IFERROR(__xludf.DUMMYFUNCTION("""COMPUTED_VALUE"""),333.5)</f>
        <v>333.5</v>
      </c>
      <c r="D396" s="4">
        <f t="shared" si="2"/>
        <v>0.0466028558</v>
      </c>
      <c r="E396" s="2"/>
    </row>
    <row r="397">
      <c r="A397" s="1" t="s">
        <v>3</v>
      </c>
      <c r="B397" s="3">
        <f>IFERROR(__xludf.DUMMYFUNCTION("""COMPUTED_VALUE"""),45833.6875)</f>
        <v>45833.6875</v>
      </c>
      <c r="C397" s="4">
        <f>IFERROR(__xludf.DUMMYFUNCTION("""COMPUTED_VALUE"""),331.85)</f>
        <v>331.85</v>
      </c>
      <c r="D397" s="4">
        <f t="shared" si="2"/>
        <v>-0.004947526237</v>
      </c>
      <c r="E397" s="2"/>
    </row>
    <row r="398">
      <c r="A398" s="1" t="s">
        <v>3</v>
      </c>
      <c r="B398" s="3">
        <f>IFERROR(__xludf.DUMMYFUNCTION("""COMPUTED_VALUE"""),45834.6875)</f>
        <v>45834.6875</v>
      </c>
      <c r="C398" s="4">
        <f>IFERROR(__xludf.DUMMYFUNCTION("""COMPUTED_VALUE"""),331.2)</f>
        <v>331.2</v>
      </c>
      <c r="D398" s="4">
        <f t="shared" si="2"/>
        <v>-0.001958716287</v>
      </c>
      <c r="E398" s="2"/>
    </row>
    <row r="399">
      <c r="A399" s="1" t="s">
        <v>3</v>
      </c>
      <c r="B399" s="3">
        <f>IFERROR(__xludf.DUMMYFUNCTION("""COMPUTED_VALUE"""),45835.6875)</f>
        <v>45835.6875</v>
      </c>
      <c r="C399" s="4">
        <f>IFERROR(__xludf.DUMMYFUNCTION("""COMPUTED_VALUE"""),338.55)</f>
        <v>338.55</v>
      </c>
      <c r="D399" s="4">
        <f t="shared" si="2"/>
        <v>0.02219202899</v>
      </c>
      <c r="E399" s="2"/>
    </row>
    <row r="400">
      <c r="A400" s="1" t="s">
        <v>3</v>
      </c>
      <c r="B400" s="3">
        <f>IFERROR(__xludf.DUMMYFUNCTION("""COMPUTED_VALUE"""),45838.6875)</f>
        <v>45838.6875</v>
      </c>
      <c r="C400" s="4">
        <f>IFERROR(__xludf.DUMMYFUNCTION("""COMPUTED_VALUE"""),337.3)</f>
        <v>337.3</v>
      </c>
      <c r="D400" s="4">
        <f t="shared" si="2"/>
        <v>-0.003692216807</v>
      </c>
      <c r="E400" s="2"/>
    </row>
    <row r="401">
      <c r="A401" s="1" t="s">
        <v>3</v>
      </c>
      <c r="B401" s="3">
        <f>IFERROR(__xludf.DUMMYFUNCTION("""COMPUTED_VALUE"""),45839.6875)</f>
        <v>45839.6875</v>
      </c>
      <c r="C401" s="4">
        <f>IFERROR(__xludf.DUMMYFUNCTION("""COMPUTED_VALUE"""),329.7)</f>
        <v>329.7</v>
      </c>
      <c r="D401" s="4">
        <f t="shared" si="2"/>
        <v>-0.02253187074</v>
      </c>
      <c r="E401" s="2"/>
    </row>
    <row r="402">
      <c r="A402" s="1" t="s">
        <v>3</v>
      </c>
      <c r="B402" s="3">
        <f>IFERROR(__xludf.DUMMYFUNCTION("""COMPUTED_VALUE"""),45840.6875)</f>
        <v>45840.6875</v>
      </c>
      <c r="C402" s="4">
        <f>IFERROR(__xludf.DUMMYFUNCTION("""COMPUTED_VALUE"""),325.75)</f>
        <v>325.75</v>
      </c>
      <c r="D402" s="4">
        <f t="shared" si="2"/>
        <v>-0.01198058841</v>
      </c>
      <c r="E402" s="2"/>
    </row>
    <row r="403">
      <c r="A403" s="1" t="s">
        <v>3</v>
      </c>
      <c r="B403" s="3">
        <f>IFERROR(__xludf.DUMMYFUNCTION("""COMPUTED_VALUE"""),45841.6875)</f>
        <v>45841.6875</v>
      </c>
      <c r="C403" s="4">
        <f>IFERROR(__xludf.DUMMYFUNCTION("""COMPUTED_VALUE"""),332.35)</f>
        <v>332.35</v>
      </c>
      <c r="D403" s="4">
        <f t="shared" si="2"/>
        <v>0.0202609363</v>
      </c>
      <c r="E403" s="2"/>
    </row>
    <row r="404">
      <c r="A404" s="1" t="s">
        <v>3</v>
      </c>
      <c r="B404" s="3">
        <f>IFERROR(__xludf.DUMMYFUNCTION("""COMPUTED_VALUE"""),45842.6875)</f>
        <v>45842.6875</v>
      </c>
      <c r="C404" s="4">
        <f>IFERROR(__xludf.DUMMYFUNCTION("""COMPUTED_VALUE"""),330.5)</f>
        <v>330.5</v>
      </c>
      <c r="D404" s="4">
        <f t="shared" si="2"/>
        <v>-0.005566420942</v>
      </c>
      <c r="E404" s="2"/>
    </row>
    <row r="405">
      <c r="A405" s="1" t="s">
        <v>3</v>
      </c>
      <c r="B405" s="3">
        <f>IFERROR(__xludf.DUMMYFUNCTION("""COMPUTED_VALUE"""),45845.6875)</f>
        <v>45845.6875</v>
      </c>
      <c r="C405" s="4">
        <f>IFERROR(__xludf.DUMMYFUNCTION("""COMPUTED_VALUE"""),334.3)</f>
        <v>334.3</v>
      </c>
      <c r="D405" s="4">
        <f t="shared" si="2"/>
        <v>0.01149773071</v>
      </c>
      <c r="E405" s="2"/>
    </row>
    <row r="406">
      <c r="A406" s="1" t="s">
        <v>3</v>
      </c>
      <c r="B406" s="3">
        <f>IFERROR(__xludf.DUMMYFUNCTION("""COMPUTED_VALUE"""),45846.6875)</f>
        <v>45846.6875</v>
      </c>
      <c r="C406" s="4">
        <f>IFERROR(__xludf.DUMMYFUNCTION("""COMPUTED_VALUE"""),334.65)</f>
        <v>334.65</v>
      </c>
      <c r="D406" s="4">
        <f t="shared" si="2"/>
        <v>0.001046963805</v>
      </c>
      <c r="E406" s="2"/>
    </row>
    <row r="407">
      <c r="A407" s="1" t="s">
        <v>3</v>
      </c>
      <c r="B407" s="3">
        <f>IFERROR(__xludf.DUMMYFUNCTION("""COMPUTED_VALUE"""),45847.6875)</f>
        <v>45847.6875</v>
      </c>
      <c r="C407" s="4">
        <f>IFERROR(__xludf.DUMMYFUNCTION("""COMPUTED_VALUE"""),339.65)</f>
        <v>339.65</v>
      </c>
      <c r="D407" s="4">
        <f t="shared" si="2"/>
        <v>0.01494098312</v>
      </c>
      <c r="E407" s="2"/>
    </row>
    <row r="408">
      <c r="A408" s="1" t="s">
        <v>3</v>
      </c>
      <c r="B408" s="3">
        <f>IFERROR(__xludf.DUMMYFUNCTION("""COMPUTED_VALUE"""),45848.6875)</f>
        <v>45848.6875</v>
      </c>
      <c r="C408" s="4">
        <f>IFERROR(__xludf.DUMMYFUNCTION("""COMPUTED_VALUE"""),343.65)</f>
        <v>343.65</v>
      </c>
      <c r="D408" s="4">
        <f t="shared" si="2"/>
        <v>0.01177682909</v>
      </c>
      <c r="E408" s="2"/>
    </row>
    <row r="409">
      <c r="A409" s="1" t="s">
        <v>3</v>
      </c>
      <c r="B409" s="3">
        <f>IFERROR(__xludf.DUMMYFUNCTION("""COMPUTED_VALUE"""),45849.6875)</f>
        <v>45849.6875</v>
      </c>
      <c r="C409" s="4">
        <f>IFERROR(__xludf.DUMMYFUNCTION("""COMPUTED_VALUE"""),340.0)</f>
        <v>340</v>
      </c>
      <c r="D409" s="4">
        <f t="shared" si="2"/>
        <v>-0.01062127164</v>
      </c>
      <c r="E409" s="2"/>
    </row>
    <row r="410">
      <c r="A410" s="1" t="s">
        <v>3</v>
      </c>
      <c r="B410" s="3">
        <f>IFERROR(__xludf.DUMMYFUNCTION("""COMPUTED_VALUE"""),45852.6875)</f>
        <v>45852.6875</v>
      </c>
      <c r="C410" s="4">
        <f>IFERROR(__xludf.DUMMYFUNCTION("""COMPUTED_VALUE"""),344.0)</f>
        <v>344</v>
      </c>
      <c r="D410" s="4">
        <f t="shared" si="2"/>
        <v>0.01176470588</v>
      </c>
      <c r="E410" s="2"/>
    </row>
    <row r="411">
      <c r="A411" s="1" t="s">
        <v>3</v>
      </c>
      <c r="B411" s="3">
        <f>IFERROR(__xludf.DUMMYFUNCTION("""COMPUTED_VALUE"""),45853.6875)</f>
        <v>45853.6875</v>
      </c>
      <c r="C411" s="4">
        <f>IFERROR(__xludf.DUMMYFUNCTION("""COMPUTED_VALUE"""),343.35)</f>
        <v>343.35</v>
      </c>
      <c r="D411" s="4">
        <f t="shared" si="2"/>
        <v>-0.001889534884</v>
      </c>
      <c r="E411" s="2"/>
    </row>
    <row r="412">
      <c r="A412" s="1" t="s">
        <v>3</v>
      </c>
      <c r="B412" s="3">
        <f>IFERROR(__xludf.DUMMYFUNCTION("""COMPUTED_VALUE"""),45854.6875)</f>
        <v>45854.6875</v>
      </c>
      <c r="C412" s="4">
        <f>IFERROR(__xludf.DUMMYFUNCTION("""COMPUTED_VALUE"""),342.6)</f>
        <v>342.6</v>
      </c>
      <c r="D412" s="4">
        <f t="shared" si="2"/>
        <v>-0.002184359983</v>
      </c>
      <c r="E412" s="2"/>
    </row>
    <row r="413">
      <c r="A413" s="1" t="s">
        <v>3</v>
      </c>
      <c r="B413" s="3">
        <f>IFERROR(__xludf.DUMMYFUNCTION("""COMPUTED_VALUE"""),45855.6875)</f>
        <v>45855.6875</v>
      </c>
      <c r="C413" s="4">
        <f>IFERROR(__xludf.DUMMYFUNCTION("""COMPUTED_VALUE"""),351.2)</f>
        <v>351.2</v>
      </c>
      <c r="D413" s="4">
        <f t="shared" si="2"/>
        <v>0.02510215995</v>
      </c>
      <c r="E413" s="2"/>
    </row>
    <row r="414">
      <c r="A414" s="1" t="s">
        <v>3</v>
      </c>
      <c r="B414" s="3">
        <f>IFERROR(__xludf.DUMMYFUNCTION("""COMPUTED_VALUE"""),45856.6875)</f>
        <v>45856.6875</v>
      </c>
      <c r="C414" s="4">
        <f>IFERROR(__xludf.DUMMYFUNCTION("""COMPUTED_VALUE"""),349.65)</f>
        <v>349.65</v>
      </c>
      <c r="D414" s="4">
        <f t="shared" si="2"/>
        <v>-0.004413439636</v>
      </c>
      <c r="E414" s="2"/>
    </row>
    <row r="415">
      <c r="A415" s="1" t="s">
        <v>3</v>
      </c>
      <c r="B415" s="3">
        <f>IFERROR(__xludf.DUMMYFUNCTION("""COMPUTED_VALUE"""),45859.6875)</f>
        <v>45859.6875</v>
      </c>
      <c r="C415" s="4">
        <f>IFERROR(__xludf.DUMMYFUNCTION("""COMPUTED_VALUE"""),352.8)</f>
        <v>352.8</v>
      </c>
      <c r="D415" s="4">
        <f t="shared" si="2"/>
        <v>0.009009009009</v>
      </c>
      <c r="E415" s="2"/>
    </row>
    <row r="416">
      <c r="A416" s="1" t="s">
        <v>3</v>
      </c>
      <c r="B416" s="3">
        <f>IFERROR(__xludf.DUMMYFUNCTION("""COMPUTED_VALUE"""),45860.6875)</f>
        <v>45860.6875</v>
      </c>
      <c r="C416" s="4">
        <f>IFERROR(__xludf.DUMMYFUNCTION("""COMPUTED_VALUE"""),348.75)</f>
        <v>348.75</v>
      </c>
      <c r="D416" s="4">
        <f t="shared" si="2"/>
        <v>-0.01147959184</v>
      </c>
      <c r="E416" s="2"/>
    </row>
    <row r="417">
      <c r="A417" s="1" t="s">
        <v>3</v>
      </c>
      <c r="B417" s="3">
        <f>IFERROR(__xludf.DUMMYFUNCTION("""COMPUTED_VALUE"""),45861.6875)</f>
        <v>45861.6875</v>
      </c>
      <c r="C417" s="4">
        <f>IFERROR(__xludf.DUMMYFUNCTION("""COMPUTED_VALUE"""),351.85)</f>
        <v>351.85</v>
      </c>
      <c r="D417" s="4">
        <f t="shared" si="2"/>
        <v>0.008888888889</v>
      </c>
      <c r="E417" s="2"/>
    </row>
    <row r="418">
      <c r="A418" s="1" t="s">
        <v>3</v>
      </c>
      <c r="B418" s="3">
        <f>IFERROR(__xludf.DUMMYFUNCTION("""COMPUTED_VALUE"""),45862.6875)</f>
        <v>45862.6875</v>
      </c>
      <c r="C418" s="4">
        <f>IFERROR(__xludf.DUMMYFUNCTION("""COMPUTED_VALUE"""),358.4)</f>
        <v>358.4</v>
      </c>
      <c r="D418" s="4">
        <f t="shared" si="2"/>
        <v>0.01861588745</v>
      </c>
      <c r="E418" s="2"/>
    </row>
    <row r="419">
      <c r="A419" s="1" t="s">
        <v>3</v>
      </c>
      <c r="B419" s="3">
        <f>IFERROR(__xludf.DUMMYFUNCTION("""COMPUTED_VALUE"""),45863.6875)</f>
        <v>45863.6875</v>
      </c>
      <c r="C419" s="4">
        <f>IFERROR(__xludf.DUMMYFUNCTION("""COMPUTED_VALUE"""),360.5)</f>
        <v>360.5</v>
      </c>
      <c r="D419" s="4">
        <f t="shared" si="2"/>
        <v>0.005859375</v>
      </c>
      <c r="E419" s="2"/>
    </row>
    <row r="420">
      <c r="A420" s="1" t="s">
        <v>3</v>
      </c>
      <c r="B420" s="3">
        <f>IFERROR(__xludf.DUMMYFUNCTION("""COMPUTED_VALUE"""),45866.6875)</f>
        <v>45866.6875</v>
      </c>
      <c r="C420" s="4">
        <f>IFERROR(__xludf.DUMMYFUNCTION("""COMPUTED_VALUE"""),361.2)</f>
        <v>361.2</v>
      </c>
      <c r="D420" s="4">
        <f t="shared" si="2"/>
        <v>0.001941747573</v>
      </c>
      <c r="E420" s="2"/>
    </row>
    <row r="421">
      <c r="A421" s="1" t="s">
        <v>3</v>
      </c>
      <c r="B421" s="3">
        <f>IFERROR(__xludf.DUMMYFUNCTION("""COMPUTED_VALUE"""),45867.6875)</f>
        <v>45867.6875</v>
      </c>
      <c r="C421" s="4">
        <f>IFERROR(__xludf.DUMMYFUNCTION("""COMPUTED_VALUE"""),371.2)</f>
        <v>371.2</v>
      </c>
      <c r="D421" s="4">
        <f t="shared" si="2"/>
        <v>0.0276854928</v>
      </c>
      <c r="E421" s="2"/>
    </row>
    <row r="422">
      <c r="A422" s="1" t="s">
        <v>3</v>
      </c>
      <c r="B422" s="3">
        <f>IFERROR(__xludf.DUMMYFUNCTION("""COMPUTED_VALUE"""),45868.6875)</f>
        <v>45868.6875</v>
      </c>
      <c r="C422" s="4">
        <f>IFERROR(__xludf.DUMMYFUNCTION("""COMPUTED_VALUE"""),375.0)</f>
        <v>375</v>
      </c>
      <c r="D422" s="4">
        <f t="shared" si="2"/>
        <v>0.01023706897</v>
      </c>
      <c r="E422" s="2"/>
    </row>
    <row r="423">
      <c r="A423" s="1" t="s">
        <v>3</v>
      </c>
      <c r="B423" s="3">
        <f>IFERROR(__xludf.DUMMYFUNCTION("""COMPUTED_VALUE"""),45869.6875)</f>
        <v>45869.6875</v>
      </c>
      <c r="C423" s="4">
        <f>IFERROR(__xludf.DUMMYFUNCTION("""COMPUTED_VALUE"""),371.3)</f>
        <v>371.3</v>
      </c>
      <c r="D423" s="4">
        <f t="shared" si="2"/>
        <v>-0.009866666667</v>
      </c>
      <c r="E423" s="2"/>
    </row>
    <row r="424">
      <c r="A424" s="1" t="s">
        <v>3</v>
      </c>
      <c r="B424" s="3">
        <f>IFERROR(__xludf.DUMMYFUNCTION("""COMPUTED_VALUE"""),45870.6875)</f>
        <v>45870.6875</v>
      </c>
      <c r="C424" s="4">
        <f>IFERROR(__xludf.DUMMYFUNCTION("""COMPUTED_VALUE"""),356.65)</f>
        <v>356.65</v>
      </c>
      <c r="D424" s="4">
        <f t="shared" si="2"/>
        <v>-0.03945596553</v>
      </c>
      <c r="E424" s="2"/>
    </row>
    <row r="425">
      <c r="A425" s="1" t="s">
        <v>3</v>
      </c>
      <c r="B425" s="3">
        <f>IFERROR(__xludf.DUMMYFUNCTION("""COMPUTED_VALUE"""),45873.6875)</f>
        <v>45873.6875</v>
      </c>
      <c r="C425" s="4">
        <f>IFERROR(__xludf.DUMMYFUNCTION("""COMPUTED_VALUE"""),362.45)</f>
        <v>362.45</v>
      </c>
      <c r="D425" s="4">
        <f t="shared" si="2"/>
        <v>0.01626244217</v>
      </c>
      <c r="E425" s="2"/>
    </row>
    <row r="426">
      <c r="A426" s="1" t="s">
        <v>3</v>
      </c>
      <c r="B426" s="3">
        <f>IFERROR(__xludf.DUMMYFUNCTION("""COMPUTED_VALUE"""),45874.6875)</f>
        <v>45874.6875</v>
      </c>
      <c r="C426" s="4">
        <f>IFERROR(__xludf.DUMMYFUNCTION("""COMPUTED_VALUE"""),360.85)</f>
        <v>360.85</v>
      </c>
      <c r="D426" s="4">
        <f t="shared" si="2"/>
        <v>-0.004414401986</v>
      </c>
      <c r="E426" s="2"/>
    </row>
    <row r="427">
      <c r="A427" s="1" t="s">
        <v>3</v>
      </c>
      <c r="B427" s="3">
        <f>IFERROR(__xludf.DUMMYFUNCTION("""COMPUTED_VALUE"""),45875.6875)</f>
        <v>45875.6875</v>
      </c>
      <c r="C427" s="4">
        <f>IFERROR(__xludf.DUMMYFUNCTION("""COMPUTED_VALUE"""),364.9)</f>
        <v>364.9</v>
      </c>
      <c r="D427" s="4">
        <f t="shared" si="2"/>
        <v>0.01122350007</v>
      </c>
      <c r="E427" s="2"/>
    </row>
    <row r="428">
      <c r="A428" s="1" t="s">
        <v>3</v>
      </c>
      <c r="B428" s="3">
        <f>IFERROR(__xludf.DUMMYFUNCTION("""COMPUTED_VALUE"""),45876.6875)</f>
        <v>45876.6875</v>
      </c>
      <c r="C428" s="4">
        <f>IFERROR(__xludf.DUMMYFUNCTION("""COMPUTED_VALUE"""),362.0)</f>
        <v>362</v>
      </c>
      <c r="D428" s="4">
        <f t="shared" si="2"/>
        <v>-0.007947382845</v>
      </c>
      <c r="E428" s="2"/>
    </row>
    <row r="429">
      <c r="A429" s="1" t="s">
        <v>3</v>
      </c>
      <c r="B429" s="3">
        <f>IFERROR(__xludf.DUMMYFUNCTION("""COMPUTED_VALUE"""),45877.6875)</f>
        <v>45877.6875</v>
      </c>
      <c r="C429" s="4">
        <f>IFERROR(__xludf.DUMMYFUNCTION("""COMPUTED_VALUE"""),367.95)</f>
        <v>367.95</v>
      </c>
      <c r="D429" s="4">
        <f t="shared" si="2"/>
        <v>0.01643646409</v>
      </c>
      <c r="E429" s="2"/>
    </row>
    <row r="430">
      <c r="A430" s="1" t="s">
        <v>3</v>
      </c>
      <c r="B430" s="3">
        <f>IFERROR(__xludf.DUMMYFUNCTION("""COMPUTED_VALUE"""),45880.6875)</f>
        <v>45880.6875</v>
      </c>
      <c r="C430" s="4">
        <f>IFERROR(__xludf.DUMMYFUNCTION("""COMPUTED_VALUE"""),371.0)</f>
        <v>371</v>
      </c>
      <c r="D430" s="4">
        <f t="shared" si="2"/>
        <v>0.008289169724</v>
      </c>
      <c r="E430" s="2"/>
    </row>
    <row r="431">
      <c r="A431" s="1" t="s">
        <v>3</v>
      </c>
      <c r="B431" s="3">
        <f>IFERROR(__xludf.DUMMYFUNCTION("""COMPUTED_VALUE"""),45881.6875)</f>
        <v>45881.6875</v>
      </c>
      <c r="C431" s="4">
        <f>IFERROR(__xludf.DUMMYFUNCTION("""COMPUTED_VALUE"""),374.0)</f>
        <v>374</v>
      </c>
      <c r="D431" s="4">
        <f t="shared" si="2"/>
        <v>0.008086253369</v>
      </c>
      <c r="E431" s="2"/>
    </row>
    <row r="432">
      <c r="A432" s="1" t="s">
        <v>3</v>
      </c>
      <c r="B432" s="3">
        <f>IFERROR(__xludf.DUMMYFUNCTION("""COMPUTED_VALUE"""),45882.6875)</f>
        <v>45882.6875</v>
      </c>
      <c r="C432" s="4">
        <f>IFERROR(__xludf.DUMMYFUNCTION("""COMPUTED_VALUE"""),373.5)</f>
        <v>373.5</v>
      </c>
      <c r="D432" s="4">
        <f t="shared" si="2"/>
        <v>-0.001336898396</v>
      </c>
      <c r="E432" s="2"/>
    </row>
    <row r="433">
      <c r="A433" s="1" t="s">
        <v>3</v>
      </c>
      <c r="B433" s="3">
        <f>IFERROR(__xludf.DUMMYFUNCTION("""COMPUTED_VALUE"""),45883.6875)</f>
        <v>45883.6875</v>
      </c>
      <c r="C433" s="4">
        <f>IFERROR(__xludf.DUMMYFUNCTION("""COMPUTED_VALUE"""),374.9)</f>
        <v>374.9</v>
      </c>
      <c r="D433" s="4">
        <f t="shared" si="2"/>
        <v>0.00374832664</v>
      </c>
      <c r="E433" s="2"/>
    </row>
    <row r="434">
      <c r="A434" s="1" t="s">
        <v>3</v>
      </c>
      <c r="B434" s="3">
        <f>IFERROR(__xludf.DUMMYFUNCTION("""COMPUTED_VALUE"""),45884.6875)</f>
        <v>45884.6875</v>
      </c>
      <c r="C434" s="4">
        <f>IFERROR(__xludf.DUMMYFUNCTION("""COMPUTED_VALUE"""),371.15)</f>
        <v>371.15</v>
      </c>
      <c r="D434" s="4">
        <f t="shared" si="2"/>
        <v>-0.01000266738</v>
      </c>
      <c r="E434" s="2"/>
    </row>
    <row r="435">
      <c r="A435" s="1" t="s">
        <v>3</v>
      </c>
      <c r="B435" s="3">
        <f>IFERROR(__xludf.DUMMYFUNCTION("""COMPUTED_VALUE"""),45887.6875)</f>
        <v>45887.6875</v>
      </c>
      <c r="C435" s="4">
        <f>IFERROR(__xludf.DUMMYFUNCTION("""COMPUTED_VALUE"""),371.2)</f>
        <v>371.2</v>
      </c>
      <c r="D435" s="4">
        <f t="shared" si="2"/>
        <v>0.0001347164219</v>
      </c>
      <c r="E435" s="2"/>
    </row>
    <row r="436">
      <c r="A436" s="1" t="s">
        <v>3</v>
      </c>
      <c r="B436" s="3">
        <f>IFERROR(__xludf.DUMMYFUNCTION("""COMPUTED_VALUE"""),45888.6875)</f>
        <v>45888.6875</v>
      </c>
      <c r="C436" s="4">
        <f>IFERROR(__xludf.DUMMYFUNCTION("""COMPUTED_VALUE"""),372.1)</f>
        <v>372.1</v>
      </c>
      <c r="D436" s="4">
        <f t="shared" si="2"/>
        <v>0.002424568966</v>
      </c>
      <c r="E436" s="2"/>
    </row>
    <row r="437">
      <c r="A437" s="1" t="s">
        <v>3</v>
      </c>
      <c r="B437" s="3">
        <f>IFERROR(__xludf.DUMMYFUNCTION("""COMPUTED_VALUE"""),45889.6875)</f>
        <v>45889.6875</v>
      </c>
      <c r="C437" s="4">
        <f>IFERROR(__xludf.DUMMYFUNCTION("""COMPUTED_VALUE"""),372.7)</f>
        <v>372.7</v>
      </c>
      <c r="D437" s="4">
        <f t="shared" si="2"/>
        <v>0.001612469766</v>
      </c>
      <c r="E437" s="2"/>
    </row>
    <row r="438">
      <c r="A438" s="1" t="s">
        <v>3</v>
      </c>
      <c r="B438" s="3">
        <f>IFERROR(__xludf.DUMMYFUNCTION("""COMPUTED_VALUE"""),45890.6875)</f>
        <v>45890.6875</v>
      </c>
      <c r="C438" s="4">
        <f>IFERROR(__xludf.DUMMYFUNCTION("""COMPUTED_VALUE"""),373.95)</f>
        <v>373.95</v>
      </c>
      <c r="D438" s="4">
        <f t="shared" si="2"/>
        <v>0.003353903944</v>
      </c>
      <c r="E438" s="2"/>
    </row>
    <row r="439">
      <c r="A439" s="1" t="s">
        <v>3</v>
      </c>
      <c r="B439" s="3">
        <f>IFERROR(__xludf.DUMMYFUNCTION("""COMPUTED_VALUE"""),45891.6875)</f>
        <v>45891.6875</v>
      </c>
      <c r="C439" s="4">
        <f>IFERROR(__xludf.DUMMYFUNCTION("""COMPUTED_VALUE"""),376.45)</f>
        <v>376.45</v>
      </c>
      <c r="D439" s="4">
        <f t="shared" si="2"/>
        <v>0.006685385747</v>
      </c>
      <c r="E439" s="2"/>
    </row>
    <row r="440">
      <c r="A440" s="1" t="s">
        <v>3</v>
      </c>
      <c r="B440" s="3">
        <f>IFERROR(__xludf.DUMMYFUNCTION("""COMPUTED_VALUE"""),45895.6875)</f>
        <v>45895.6875</v>
      </c>
      <c r="C440" s="4">
        <f>IFERROR(__xludf.DUMMYFUNCTION("""COMPUTED_VALUE"""),373.8)</f>
        <v>373.8</v>
      </c>
      <c r="D440" s="4">
        <f t="shared" si="2"/>
        <v>-0.00703944747</v>
      </c>
      <c r="E440" s="2"/>
    </row>
    <row r="441">
      <c r="A441" s="1" t="s">
        <v>3</v>
      </c>
      <c r="B441" s="3">
        <f>IFERROR(__xludf.DUMMYFUNCTION("""COMPUTED_VALUE"""),45896.6875)</f>
        <v>45896.6875</v>
      </c>
      <c r="C441" s="4">
        <f>IFERROR(__xludf.DUMMYFUNCTION("""COMPUTED_VALUE"""),371.4)</f>
        <v>371.4</v>
      </c>
      <c r="D441" s="4">
        <f t="shared" si="2"/>
        <v>-0.006420545746</v>
      </c>
      <c r="E441" s="2"/>
    </row>
    <row r="442">
      <c r="A442" s="1" t="s">
        <v>3</v>
      </c>
      <c r="B442" s="3">
        <f>IFERROR(__xludf.DUMMYFUNCTION("""COMPUTED_VALUE"""),45897.6875)</f>
        <v>45897.6875</v>
      </c>
      <c r="C442" s="4">
        <f>IFERROR(__xludf.DUMMYFUNCTION("""COMPUTED_VALUE"""),368.65)</f>
        <v>368.65</v>
      </c>
      <c r="D442" s="4">
        <f t="shared" si="2"/>
        <v>-0.007404415724</v>
      </c>
      <c r="E442" s="2"/>
    </row>
    <row r="443">
      <c r="A443" s="1" t="s">
        <v>3</v>
      </c>
      <c r="B443" s="3">
        <f>IFERROR(__xludf.DUMMYFUNCTION("""COMPUTED_VALUE"""),45898.6875)</f>
        <v>45898.6875</v>
      </c>
      <c r="C443" s="4">
        <f>IFERROR(__xludf.DUMMYFUNCTION("""COMPUTED_VALUE"""),360.4)</f>
        <v>360.4</v>
      </c>
      <c r="D443" s="4">
        <f t="shared" si="2"/>
        <v>-0.02237895022</v>
      </c>
      <c r="E443" s="2"/>
    </row>
    <row r="444">
      <c r="A444" s="1" t="s">
        <v>3</v>
      </c>
      <c r="B444" s="3">
        <f>IFERROR(__xludf.DUMMYFUNCTION("""COMPUTED_VALUE"""),45901.6875)</f>
        <v>45901.6875</v>
      </c>
      <c r="C444" s="4">
        <f>IFERROR(__xludf.DUMMYFUNCTION("""COMPUTED_VALUE"""),367.3)</f>
        <v>367.3</v>
      </c>
      <c r="D444" s="4">
        <f t="shared" si="2"/>
        <v>0.01914539401</v>
      </c>
      <c r="E444" s="2"/>
    </row>
    <row r="445">
      <c r="A445" s="1" t="s">
        <v>3</v>
      </c>
      <c r="B445" s="3">
        <f>IFERROR(__xludf.DUMMYFUNCTION("""COMPUTED_VALUE"""),45902.6875)</f>
        <v>45902.6875</v>
      </c>
      <c r="C445" s="4">
        <f>IFERROR(__xludf.DUMMYFUNCTION("""COMPUTED_VALUE"""),359.7)</f>
        <v>359.7</v>
      </c>
      <c r="D445" s="4">
        <f t="shared" si="2"/>
        <v>-0.02069153281</v>
      </c>
      <c r="E445" s="2"/>
    </row>
    <row r="446">
      <c r="A446" s="1" t="s">
        <v>3</v>
      </c>
      <c r="B446" s="3">
        <f>IFERROR(__xludf.DUMMYFUNCTION("""COMPUTED_VALUE"""),45903.6875)</f>
        <v>45903.6875</v>
      </c>
      <c r="C446" s="4">
        <f>IFERROR(__xludf.DUMMYFUNCTION("""COMPUTED_VALUE"""),362.25)</f>
        <v>362.25</v>
      </c>
      <c r="D446" s="4">
        <f t="shared" si="2"/>
        <v>0.007089241034</v>
      </c>
      <c r="E446" s="2"/>
    </row>
    <row r="447">
      <c r="A447" s="1" t="s">
        <v>3</v>
      </c>
      <c r="B447" s="3">
        <f>IFERROR(__xludf.DUMMYFUNCTION("""COMPUTED_VALUE"""),45904.6875)</f>
        <v>45904.6875</v>
      </c>
      <c r="C447" s="4">
        <f>IFERROR(__xludf.DUMMYFUNCTION("""COMPUTED_VALUE"""),370.25)</f>
        <v>370.25</v>
      </c>
      <c r="D447" s="4">
        <f t="shared" si="2"/>
        <v>0.022084196</v>
      </c>
      <c r="E447" s="2"/>
    </row>
    <row r="448">
      <c r="A448" s="1" t="s">
        <v>3</v>
      </c>
      <c r="B448" s="3">
        <f>IFERROR(__xludf.DUMMYFUNCTION("""COMPUTED_VALUE"""),45905.6875)</f>
        <v>45905.6875</v>
      </c>
      <c r="C448" s="4">
        <f>IFERROR(__xludf.DUMMYFUNCTION("""COMPUTED_VALUE"""),361.05)</f>
        <v>361.05</v>
      </c>
      <c r="D448" s="4">
        <f t="shared" si="2"/>
        <v>-0.02484807562</v>
      </c>
      <c r="E448" s="2"/>
    </row>
    <row r="449">
      <c r="A449" s="1" t="s">
        <v>3</v>
      </c>
      <c r="B449" s="3">
        <f>IFERROR(__xludf.DUMMYFUNCTION("""COMPUTED_VALUE"""),45908.6875)</f>
        <v>45908.6875</v>
      </c>
      <c r="C449" s="4">
        <f>IFERROR(__xludf.DUMMYFUNCTION("""COMPUTED_VALUE"""),366.55)</f>
        <v>366.55</v>
      </c>
      <c r="D449" s="4">
        <f t="shared" si="2"/>
        <v>0.01523334718</v>
      </c>
      <c r="E449" s="2"/>
    </row>
    <row r="450">
      <c r="A450" s="1" t="s">
        <v>3</v>
      </c>
      <c r="B450" s="3">
        <f>IFERROR(__xludf.DUMMYFUNCTION("""COMPUTED_VALUE"""),45909.6875)</f>
        <v>45909.6875</v>
      </c>
      <c r="C450" s="4">
        <f>IFERROR(__xludf.DUMMYFUNCTION("""COMPUTED_VALUE"""),373.55)</f>
        <v>373.55</v>
      </c>
      <c r="D450" s="4">
        <f t="shared" si="2"/>
        <v>0.0190969854</v>
      </c>
      <c r="E450" s="2"/>
    </row>
    <row r="451">
      <c r="A451" s="1" t="s">
        <v>3</v>
      </c>
      <c r="B451" s="3">
        <f>IFERROR(__xludf.DUMMYFUNCTION("""COMPUTED_VALUE"""),45910.6875)</f>
        <v>45910.6875</v>
      </c>
      <c r="C451" s="4">
        <f>IFERROR(__xludf.DUMMYFUNCTION("""COMPUTED_VALUE"""),375.05)</f>
        <v>375.05</v>
      </c>
      <c r="D451" s="4">
        <f t="shared" si="2"/>
        <v>0.004015526703</v>
      </c>
      <c r="E451" s="2"/>
    </row>
    <row r="452">
      <c r="A452" s="1" t="s">
        <v>3</v>
      </c>
      <c r="B452" s="3">
        <f>IFERROR(__xludf.DUMMYFUNCTION("""COMPUTED_VALUE"""),45911.6875)</f>
        <v>45911.6875</v>
      </c>
      <c r="C452" s="4">
        <f>IFERROR(__xludf.DUMMYFUNCTION("""COMPUTED_VALUE"""),379.55)</f>
        <v>379.55</v>
      </c>
      <c r="D452" s="4">
        <f t="shared" si="2"/>
        <v>0.01199840021</v>
      </c>
      <c r="E452" s="2"/>
    </row>
    <row r="453">
      <c r="A453" s="1" t="s">
        <v>3</v>
      </c>
      <c r="B453" s="3">
        <f>IFERROR(__xludf.DUMMYFUNCTION("""COMPUTED_VALUE"""),45912.6875)</f>
        <v>45912.6875</v>
      </c>
      <c r="C453" s="4">
        <f>IFERROR(__xludf.DUMMYFUNCTION("""COMPUTED_VALUE"""),380.1)</f>
        <v>380.1</v>
      </c>
      <c r="D453" s="4">
        <f t="shared" si="2"/>
        <v>0.001449084442</v>
      </c>
      <c r="E453" s="2"/>
    </row>
    <row r="454">
      <c r="A454" s="1" t="s">
        <v>3</v>
      </c>
      <c r="B454" s="3">
        <f>IFERROR(__xludf.DUMMYFUNCTION("""COMPUTED_VALUE"""),45915.6875)</f>
        <v>45915.6875</v>
      </c>
      <c r="C454" s="4">
        <f>IFERROR(__xludf.DUMMYFUNCTION("""COMPUTED_VALUE"""),384.65)</f>
        <v>384.65</v>
      </c>
      <c r="D454" s="4">
        <f t="shared" si="2"/>
        <v>0.01197053407</v>
      </c>
      <c r="E454" s="2"/>
    </row>
    <row r="455">
      <c r="A455" s="1" t="s">
        <v>3</v>
      </c>
      <c r="B455" s="3">
        <f>IFERROR(__xludf.DUMMYFUNCTION("""COMPUTED_VALUE"""),45916.6875)</f>
        <v>45916.6875</v>
      </c>
      <c r="C455" s="4">
        <f>IFERROR(__xludf.DUMMYFUNCTION("""COMPUTED_VALUE"""),374.85)</f>
        <v>374.85</v>
      </c>
      <c r="D455" s="4">
        <f t="shared" si="2"/>
        <v>-0.02547770701</v>
      </c>
      <c r="E455" s="2"/>
    </row>
    <row r="456">
      <c r="A456" s="1" t="s">
        <v>3</v>
      </c>
      <c r="B456" s="3">
        <f>IFERROR(__xludf.DUMMYFUNCTION("""COMPUTED_VALUE"""),45917.6875)</f>
        <v>45917.6875</v>
      </c>
      <c r="C456" s="4">
        <f>IFERROR(__xludf.DUMMYFUNCTION("""COMPUTED_VALUE"""),378.4)</f>
        <v>378.4</v>
      </c>
      <c r="D456" s="4">
        <f t="shared" si="2"/>
        <v>0.009470454849</v>
      </c>
      <c r="E456" s="2"/>
    </row>
    <row r="457">
      <c r="A457" s="1" t="s">
        <v>3</v>
      </c>
      <c r="B457" s="3">
        <f>IFERROR(__xludf.DUMMYFUNCTION("""COMPUTED_VALUE"""),45918.6875)</f>
        <v>45918.6875</v>
      </c>
      <c r="C457" s="4">
        <f>IFERROR(__xludf.DUMMYFUNCTION("""COMPUTED_VALUE"""),384.55)</f>
        <v>384.55</v>
      </c>
      <c r="D457" s="4">
        <f t="shared" si="2"/>
        <v>0.01625264271</v>
      </c>
      <c r="E457" s="2"/>
    </row>
    <row r="458">
      <c r="A458" s="1" t="s">
        <v>3</v>
      </c>
      <c r="B458" s="3">
        <f>IFERROR(__xludf.DUMMYFUNCTION("""COMPUTED_VALUE"""),45919.6875)</f>
        <v>45919.6875</v>
      </c>
      <c r="C458" s="4">
        <f>IFERROR(__xludf.DUMMYFUNCTION("""COMPUTED_VALUE"""),381.65)</f>
        <v>381.65</v>
      </c>
      <c r="D458" s="4">
        <f t="shared" si="2"/>
        <v>-0.007541282018</v>
      </c>
      <c r="E458" s="2"/>
    </row>
    <row r="459">
      <c r="A459" s="1" t="s">
        <v>3</v>
      </c>
      <c r="B459" s="3">
        <f>IFERROR(__xludf.DUMMYFUNCTION("""COMPUTED_VALUE"""),45922.6875)</f>
        <v>45922.6875</v>
      </c>
      <c r="C459" s="4">
        <f>IFERROR(__xludf.DUMMYFUNCTION("""COMPUTED_VALUE"""),383.35)</f>
        <v>383.35</v>
      </c>
      <c r="D459" s="4">
        <f t="shared" si="2"/>
        <v>0.004454342984</v>
      </c>
      <c r="E459" s="2"/>
    </row>
    <row r="460">
      <c r="A460" s="1" t="s">
        <v>3</v>
      </c>
      <c r="B460" s="3">
        <f>IFERROR(__xludf.DUMMYFUNCTION("""COMPUTED_VALUE"""),45923.6875)</f>
        <v>45923.6875</v>
      </c>
      <c r="C460" s="4">
        <f>IFERROR(__xludf.DUMMYFUNCTION("""COMPUTED_VALUE"""),389.3)</f>
        <v>389.3</v>
      </c>
      <c r="D460" s="4">
        <f t="shared" si="2"/>
        <v>0.0155210643</v>
      </c>
      <c r="E460" s="2"/>
    </row>
    <row r="461">
      <c r="A461" s="1" t="s">
        <v>3</v>
      </c>
      <c r="B461" s="3">
        <f>IFERROR(__xludf.DUMMYFUNCTION("""COMPUTED_VALUE"""),45924.6875)</f>
        <v>45924.6875</v>
      </c>
      <c r="C461" s="4">
        <f>IFERROR(__xludf.DUMMYFUNCTION("""COMPUTED_VALUE"""),385.05)</f>
        <v>385.05</v>
      </c>
      <c r="D461" s="4">
        <f t="shared" si="2"/>
        <v>-0.01091703057</v>
      </c>
      <c r="E461" s="2"/>
    </row>
    <row r="462">
      <c r="A462" s="1" t="s">
        <v>3</v>
      </c>
      <c r="B462" s="3">
        <f>IFERROR(__xludf.DUMMYFUNCTION("""COMPUTED_VALUE"""),45926.6875)</f>
        <v>45926.6875</v>
      </c>
      <c r="C462" s="4">
        <f>IFERROR(__xludf.DUMMYFUNCTION("""COMPUTED_VALUE"""),382.6)</f>
        <v>382.6</v>
      </c>
      <c r="D462" s="4">
        <f t="shared" si="2"/>
        <v>-0.006362810025</v>
      </c>
      <c r="E462" s="2"/>
    </row>
    <row r="463">
      <c r="A463" s="1" t="s">
        <v>3</v>
      </c>
      <c r="B463" s="3">
        <f>IFERROR(__xludf.DUMMYFUNCTION("""COMPUTED_VALUE"""),45929.6875)</f>
        <v>45929.6875</v>
      </c>
      <c r="C463" s="4">
        <f>IFERROR(__xludf.DUMMYFUNCTION("""COMPUTED_VALUE"""),380.8)</f>
        <v>380.8</v>
      </c>
      <c r="D463" s="4">
        <f t="shared" si="2"/>
        <v>-0.004704652378</v>
      </c>
      <c r="E463" s="2"/>
    </row>
    <row r="464">
      <c r="A464" s="1" t="s">
        <v>3</v>
      </c>
      <c r="B464" s="3">
        <f>IFERROR(__xludf.DUMMYFUNCTION("""COMPUTED_VALUE"""),45930.6875)</f>
        <v>45930.6875</v>
      </c>
      <c r="C464" s="4">
        <f>IFERROR(__xludf.DUMMYFUNCTION("""COMPUTED_VALUE"""),379.6)</f>
        <v>379.6</v>
      </c>
      <c r="D464" s="4">
        <f t="shared" si="2"/>
        <v>-0.003151260504</v>
      </c>
      <c r="E464" s="2"/>
    </row>
    <row r="465">
      <c r="A465" s="1" t="s">
        <v>3</v>
      </c>
      <c r="B465" s="3">
        <f>IFERROR(__xludf.DUMMYFUNCTION("""COMPUTED_VALUE"""),45931.6875)</f>
        <v>45931.6875</v>
      </c>
      <c r="C465" s="4">
        <f>IFERROR(__xludf.DUMMYFUNCTION("""COMPUTED_VALUE"""),380.2)</f>
        <v>380.2</v>
      </c>
      <c r="D465" s="4">
        <f t="shared" si="2"/>
        <v>0.00158061117</v>
      </c>
      <c r="E465" s="2"/>
    </row>
    <row r="466">
      <c r="A466" s="1" t="s">
        <v>3</v>
      </c>
      <c r="B466" s="3">
        <f>IFERROR(__xludf.DUMMYFUNCTION("""COMPUTED_VALUE"""),45932.6875)</f>
        <v>45932.6875</v>
      </c>
      <c r="C466" s="4">
        <f>IFERROR(__xludf.DUMMYFUNCTION("""COMPUTED_VALUE"""),380.3)</f>
        <v>380.3</v>
      </c>
      <c r="D466" s="4">
        <f t="shared" si="2"/>
        <v>0.0002630194634</v>
      </c>
      <c r="E466" s="2"/>
    </row>
    <row r="467">
      <c r="A467" s="1" t="s">
        <v>3</v>
      </c>
      <c r="B467" s="3">
        <f>IFERROR(__xludf.DUMMYFUNCTION("""COMPUTED_VALUE"""),45933.6875)</f>
        <v>45933.6875</v>
      </c>
      <c r="C467" s="4">
        <f>IFERROR(__xludf.DUMMYFUNCTION("""COMPUTED_VALUE"""),385.35)</f>
        <v>385.35</v>
      </c>
      <c r="D467" s="4">
        <f t="shared" si="2"/>
        <v>0.01327899027</v>
      </c>
      <c r="E467" s="2"/>
    </row>
    <row r="468">
      <c r="A468" s="1" t="s">
        <v>3</v>
      </c>
      <c r="B468" s="3">
        <f>IFERROR(__xludf.DUMMYFUNCTION("""COMPUTED_VALUE"""),45936.6875)</f>
        <v>45936.6875</v>
      </c>
      <c r="C468" s="4">
        <f>IFERROR(__xludf.DUMMYFUNCTION("""COMPUTED_VALUE"""),381.1)</f>
        <v>381.1</v>
      </c>
      <c r="D468" s="4">
        <f t="shared" si="2"/>
        <v>-0.01102893473</v>
      </c>
      <c r="E468" s="2"/>
    </row>
    <row r="469">
      <c r="A469" s="1" t="s">
        <v>3</v>
      </c>
      <c r="B469" s="3">
        <f>IFERROR(__xludf.DUMMYFUNCTION("""COMPUTED_VALUE"""),45937.6875)</f>
        <v>45937.6875</v>
      </c>
      <c r="C469" s="4">
        <f>IFERROR(__xludf.DUMMYFUNCTION("""COMPUTED_VALUE"""),378.75)</f>
        <v>378.75</v>
      </c>
      <c r="D469" s="4">
        <f t="shared" si="2"/>
        <v>-0.006166360535</v>
      </c>
      <c r="E469" s="2"/>
    </row>
    <row r="470">
      <c r="A470" s="1" t="s">
        <v>3</v>
      </c>
      <c r="B470" s="3">
        <f>IFERROR(__xludf.DUMMYFUNCTION("""COMPUTED_VALUE"""),45938.6875)</f>
        <v>45938.6875</v>
      </c>
      <c r="C470" s="4">
        <f>IFERROR(__xludf.DUMMYFUNCTION("""COMPUTED_VALUE"""),382.8)</f>
        <v>382.8</v>
      </c>
      <c r="D470" s="4">
        <f t="shared" si="2"/>
        <v>0.01069306931</v>
      </c>
      <c r="E470" s="2"/>
    </row>
    <row r="471">
      <c r="A471" s="1" t="s">
        <v>3</v>
      </c>
      <c r="B471" s="3">
        <f>IFERROR(__xludf.DUMMYFUNCTION("""COMPUTED_VALUE"""),45939.6875)</f>
        <v>45939.6875</v>
      </c>
      <c r="C471" s="4">
        <f>IFERROR(__xludf.DUMMYFUNCTION("""COMPUTED_VALUE"""),374.55)</f>
        <v>374.55</v>
      </c>
      <c r="D471" s="4">
        <f t="shared" si="2"/>
        <v>-0.02155172414</v>
      </c>
      <c r="E471" s="2"/>
    </row>
    <row r="472">
      <c r="A472" s="1" t="s">
        <v>3</v>
      </c>
      <c r="B472" s="3">
        <f>IFERROR(__xludf.DUMMYFUNCTION("""COMPUTED_VALUE"""),45940.6875)</f>
        <v>45940.6875</v>
      </c>
      <c r="C472" s="4">
        <f>IFERROR(__xludf.DUMMYFUNCTION("""COMPUTED_VALUE"""),372.5)</f>
        <v>372.5</v>
      </c>
      <c r="D472" s="4">
        <f t="shared" si="2"/>
        <v>-0.005473234548</v>
      </c>
      <c r="E472" s="2"/>
    </row>
    <row r="473">
      <c r="A473" s="1" t="s">
        <v>3</v>
      </c>
      <c r="B473" s="3">
        <f>IFERROR(__xludf.DUMMYFUNCTION("""COMPUTED_VALUE"""),45943.6875)</f>
        <v>45943.6875</v>
      </c>
      <c r="C473" s="4">
        <f>IFERROR(__xludf.DUMMYFUNCTION("""COMPUTED_VALUE"""),374.7)</f>
        <v>374.7</v>
      </c>
      <c r="D473" s="4">
        <f t="shared" si="2"/>
        <v>0.005906040268</v>
      </c>
      <c r="E473" s="2"/>
    </row>
    <row r="474">
      <c r="A474" s="1" t="s">
        <v>3</v>
      </c>
      <c r="B474" s="3">
        <f>IFERROR(__xludf.DUMMYFUNCTION("""COMPUTED_VALUE"""),45944.6875)</f>
        <v>45944.6875</v>
      </c>
      <c r="C474" s="4">
        <f>IFERROR(__xludf.DUMMYFUNCTION("""COMPUTED_VALUE"""),381.0)</f>
        <v>381</v>
      </c>
      <c r="D474" s="4">
        <f t="shared" si="2"/>
        <v>0.01681345076</v>
      </c>
      <c r="E474" s="2"/>
    </row>
    <row r="475">
      <c r="A475" s="1" t="s">
        <v>3</v>
      </c>
      <c r="B475" s="3">
        <f>IFERROR(__xludf.DUMMYFUNCTION("""COMPUTED_VALUE"""),45945.6875)</f>
        <v>45945.6875</v>
      </c>
      <c r="C475" s="4">
        <f>IFERROR(__xludf.DUMMYFUNCTION("""COMPUTED_VALUE"""),379.25)</f>
        <v>379.25</v>
      </c>
      <c r="D475" s="4">
        <f t="shared" si="2"/>
        <v>-0.004593175853</v>
      </c>
      <c r="E475" s="2"/>
    </row>
    <row r="476">
      <c r="A476" s="1" t="s">
        <v>3</v>
      </c>
      <c r="B476" s="3">
        <f>IFERROR(__xludf.DUMMYFUNCTION("""COMPUTED_VALUE"""),45946.6875)</f>
        <v>45946.6875</v>
      </c>
      <c r="C476" s="4">
        <f>IFERROR(__xludf.DUMMYFUNCTION("""COMPUTED_VALUE"""),379.25)</f>
        <v>379.25</v>
      </c>
      <c r="D476" s="4">
        <f t="shared" si="2"/>
        <v>0</v>
      </c>
      <c r="E476" s="2"/>
    </row>
    <row r="477">
      <c r="A477" s="1" t="s">
        <v>3</v>
      </c>
      <c r="B477" s="3">
        <f>IFERROR(__xludf.DUMMYFUNCTION("""COMPUTED_VALUE"""),45947.6875)</f>
        <v>45947.6875</v>
      </c>
      <c r="C477" s="4">
        <f>IFERROR(__xludf.DUMMYFUNCTION("""COMPUTED_VALUE"""),357.8)</f>
        <v>357.8</v>
      </c>
      <c r="D477" s="4">
        <f t="shared" si="2"/>
        <v>-0.05655899802</v>
      </c>
      <c r="E477" s="2"/>
    </row>
    <row r="478">
      <c r="A478" s="1" t="s">
        <v>3</v>
      </c>
      <c r="B478" s="3">
        <f>IFERROR(__xludf.DUMMYFUNCTION("""COMPUTED_VALUE"""),45950.6875)</f>
        <v>45950.6875</v>
      </c>
      <c r="C478" s="4">
        <f>IFERROR(__xludf.DUMMYFUNCTION("""COMPUTED_VALUE"""),361.8)</f>
        <v>361.8</v>
      </c>
      <c r="D478" s="4">
        <f t="shared" si="2"/>
        <v>0.01117942985</v>
      </c>
      <c r="E478" s="2"/>
    </row>
    <row r="479">
      <c r="A479" s="1" t="s">
        <v>3</v>
      </c>
      <c r="B479" s="3">
        <f>IFERROR(__xludf.DUMMYFUNCTION("""COMPUTED_VALUE"""),45951.6875)</f>
        <v>45951.6875</v>
      </c>
      <c r="C479" s="4">
        <f>IFERROR(__xludf.DUMMYFUNCTION("""COMPUTED_VALUE"""),364.25)</f>
        <v>364.25</v>
      </c>
      <c r="D479" s="4">
        <f t="shared" si="2"/>
        <v>0.00677169707</v>
      </c>
      <c r="E479" s="2"/>
    </row>
    <row r="480">
      <c r="A480" s="1" t="s">
        <v>3</v>
      </c>
      <c r="B480" s="3">
        <f>IFERROR(__xludf.DUMMYFUNCTION("""COMPUTED_VALUE"""),45952.6875)</f>
        <v>45952.6875</v>
      </c>
      <c r="C480" s="4">
        <f>IFERROR(__xludf.DUMMYFUNCTION("""COMPUTED_VALUE"""),382.0)</f>
        <v>382</v>
      </c>
      <c r="D480" s="4">
        <f t="shared" si="2"/>
        <v>0.04873026767</v>
      </c>
      <c r="E480" s="2"/>
    </row>
    <row r="481">
      <c r="A481" s="1" t="s">
        <v>3</v>
      </c>
      <c r="B481" s="3">
        <f>IFERROR(__xludf.DUMMYFUNCTION("""COMPUTED_VALUE"""),45953.6875)</f>
        <v>45953.6875</v>
      </c>
      <c r="C481" s="4">
        <f>IFERROR(__xludf.DUMMYFUNCTION("""COMPUTED_VALUE"""),386.7)</f>
        <v>386.7</v>
      </c>
      <c r="D481" s="4">
        <f t="shared" si="2"/>
        <v>0.01230366492</v>
      </c>
      <c r="E481" s="2"/>
    </row>
    <row r="482">
      <c r="A482" s="1" t="s">
        <v>3</v>
      </c>
      <c r="B482" s="3">
        <f>IFERROR(__xludf.DUMMYFUNCTION("""COMPUTED_VALUE"""),45954.6875)</f>
        <v>45954.6875</v>
      </c>
      <c r="C482" s="4">
        <f>IFERROR(__xludf.DUMMYFUNCTION("""COMPUTED_VALUE"""),388.3)</f>
        <v>388.3</v>
      </c>
      <c r="D482" s="4">
        <f t="shared" si="2"/>
        <v>0.004137574347</v>
      </c>
      <c r="E482" s="2"/>
    </row>
    <row r="483">
      <c r="A483" s="1" t="s">
        <v>3</v>
      </c>
      <c r="B483" s="3">
        <f>IFERROR(__xludf.DUMMYFUNCTION("""COMPUTED_VALUE"""),45957.6875)</f>
        <v>45957.6875</v>
      </c>
      <c r="C483" s="4">
        <f>IFERROR(__xludf.DUMMYFUNCTION("""COMPUTED_VALUE"""),395.7)</f>
        <v>395.7</v>
      </c>
      <c r="D483" s="4">
        <f t="shared" si="2"/>
        <v>0.01905742982</v>
      </c>
      <c r="E483" s="2"/>
    </row>
    <row r="484">
      <c r="A484" s="1" t="s">
        <v>3</v>
      </c>
      <c r="B484" s="3">
        <f>IFERROR(__xludf.DUMMYFUNCTION("""COMPUTED_VALUE"""),45958.6875)</f>
        <v>45958.6875</v>
      </c>
      <c r="C484" s="4">
        <f>IFERROR(__xludf.DUMMYFUNCTION("""COMPUTED_VALUE"""),404.45)</f>
        <v>404.45</v>
      </c>
      <c r="D484" s="4">
        <f t="shared" si="2"/>
        <v>0.02211271165</v>
      </c>
      <c r="E484" s="2"/>
    </row>
    <row r="485">
      <c r="A485" s="1" t="s">
        <v>3</v>
      </c>
      <c r="B485" s="3">
        <f>IFERROR(__xludf.DUMMYFUNCTION("""COMPUTED_VALUE"""),45959.6875)</f>
        <v>45959.6875</v>
      </c>
      <c r="C485" s="4">
        <f>IFERROR(__xludf.DUMMYFUNCTION("""COMPUTED_VALUE"""),405.05)</f>
        <v>405.05</v>
      </c>
      <c r="D485" s="4">
        <f t="shared" si="2"/>
        <v>0.001483496106</v>
      </c>
      <c r="E485" s="2"/>
    </row>
    <row r="486">
      <c r="A486" s="1" t="s">
        <v>3</v>
      </c>
      <c r="B486" s="3">
        <f>IFERROR(__xludf.DUMMYFUNCTION("""COMPUTED_VALUE"""),45960.6875)</f>
        <v>45960.6875</v>
      </c>
      <c r="C486" s="4">
        <f>IFERROR(__xludf.DUMMYFUNCTION("""COMPUTED_VALUE"""),405.85)</f>
        <v>405.85</v>
      </c>
      <c r="D486" s="4">
        <f t="shared" si="2"/>
        <v>0.001975064807</v>
      </c>
      <c r="E486" s="2"/>
    </row>
    <row r="487">
      <c r="A487" s="1" t="s">
        <v>3</v>
      </c>
      <c r="B487" s="3">
        <f>IFERROR(__xludf.DUMMYFUNCTION("""COMPUTED_VALUE"""),45961.6875)</f>
        <v>45961.6875</v>
      </c>
      <c r="C487" s="4">
        <f>IFERROR(__xludf.DUMMYFUNCTION("""COMPUTED_VALUE"""),407.0)</f>
        <v>407</v>
      </c>
      <c r="D487" s="4">
        <f t="shared" si="2"/>
        <v>0.002833559197</v>
      </c>
      <c r="E487" s="2"/>
    </row>
    <row r="488">
      <c r="A488" s="1" t="s">
        <v>3</v>
      </c>
      <c r="B488" s="3">
        <f>IFERROR(__xludf.DUMMYFUNCTION("""COMPUTED_VALUE"""),45964.6875)</f>
        <v>45964.6875</v>
      </c>
      <c r="C488" s="4">
        <f>IFERROR(__xludf.DUMMYFUNCTION("""COMPUTED_VALUE"""),406.6)</f>
        <v>406.6</v>
      </c>
      <c r="D488" s="4">
        <f t="shared" si="2"/>
        <v>-0.0009828009828</v>
      </c>
      <c r="E488" s="2"/>
    </row>
    <row r="489">
      <c r="A489" s="1" t="s">
        <v>3</v>
      </c>
      <c r="B489" s="3">
        <f>IFERROR(__xludf.DUMMYFUNCTION("""COMPUTED_VALUE"""),45965.6875)</f>
        <v>45965.6875</v>
      </c>
      <c r="C489" s="4">
        <f>IFERROR(__xludf.DUMMYFUNCTION("""COMPUTED_VALUE"""),406.3)</f>
        <v>406.3</v>
      </c>
      <c r="D489" s="4">
        <f t="shared" si="2"/>
        <v>-0.0007378258731</v>
      </c>
      <c r="E489" s="2"/>
    </row>
    <row r="490">
      <c r="A490" s="1" t="s">
        <v>3</v>
      </c>
      <c r="B490" s="3">
        <f>IFERROR(__xludf.DUMMYFUNCTION("""COMPUTED_VALUE"""),45966.6875)</f>
        <v>45966.6875</v>
      </c>
      <c r="C490" s="4">
        <f>IFERROR(__xludf.DUMMYFUNCTION("""COMPUTED_VALUE"""),405.75)</f>
        <v>405.75</v>
      </c>
      <c r="D490" s="4">
        <f t="shared" si="2"/>
        <v>-0.001353679547</v>
      </c>
      <c r="E490" s="2"/>
    </row>
    <row r="491">
      <c r="A491" s="1" t="s">
        <v>3</v>
      </c>
      <c r="B491" s="3">
        <f>IFERROR(__xludf.DUMMYFUNCTION("""COMPUTED_VALUE"""),45967.6875)</f>
        <v>45967.6875</v>
      </c>
      <c r="C491" s="4">
        <f>IFERROR(__xludf.DUMMYFUNCTION("""COMPUTED_VALUE"""),409.8)</f>
        <v>409.8</v>
      </c>
      <c r="D491" s="4">
        <f t="shared" si="2"/>
        <v>0.009981515712</v>
      </c>
      <c r="E491" s="2"/>
    </row>
    <row r="492">
      <c r="A492" s="1" t="s">
        <v>3</v>
      </c>
      <c r="B492" s="3">
        <f>IFERROR(__xludf.DUMMYFUNCTION("""COMPUTED_VALUE"""),45968.6875)</f>
        <v>45968.6875</v>
      </c>
      <c r="C492" s="4">
        <f>IFERROR(__xludf.DUMMYFUNCTION("""COMPUTED_VALUE"""),404.7)</f>
        <v>404.7</v>
      </c>
      <c r="D492" s="4">
        <f t="shared" si="2"/>
        <v>-0.01244509517</v>
      </c>
      <c r="E492" s="2"/>
    </row>
    <row r="493">
      <c r="A493" s="1" t="s">
        <v>3</v>
      </c>
      <c r="B493" s="3">
        <f>IFERROR(__xludf.DUMMYFUNCTION("""COMPUTED_VALUE"""),45971.6875)</f>
        <v>45971.6875</v>
      </c>
      <c r="C493" s="4">
        <f>IFERROR(__xludf.DUMMYFUNCTION("""COMPUTED_VALUE"""),417.25)</f>
        <v>417.25</v>
      </c>
      <c r="D493" s="4">
        <f t="shared" si="2"/>
        <v>0.03101062515</v>
      </c>
      <c r="E493" s="2"/>
    </row>
    <row r="494">
      <c r="A494" s="1" t="s">
        <v>3</v>
      </c>
      <c r="B494" s="3">
        <f>IFERROR(__xludf.DUMMYFUNCTION("""COMPUTED_VALUE"""),45972.6875)</f>
        <v>45972.6875</v>
      </c>
      <c r="C494" s="4">
        <f>IFERROR(__xludf.DUMMYFUNCTION("""COMPUTED_VALUE"""),422.85)</f>
        <v>422.85</v>
      </c>
      <c r="D494" s="4">
        <f t="shared" si="2"/>
        <v>0.01342121031</v>
      </c>
      <c r="E494" s="2"/>
    </row>
    <row r="495">
      <c r="A495" s="1" t="s">
        <v>3</v>
      </c>
      <c r="B495" s="3">
        <f>IFERROR(__xludf.DUMMYFUNCTION("""COMPUTED_VALUE"""),45973.6875)</f>
        <v>45973.6875</v>
      </c>
      <c r="C495" s="4">
        <f>IFERROR(__xludf.DUMMYFUNCTION("""COMPUTED_VALUE"""),429.05)</f>
        <v>429.05</v>
      </c>
      <c r="D495" s="4">
        <f t="shared" si="2"/>
        <v>0.01466240984</v>
      </c>
      <c r="E495" s="2"/>
    </row>
    <row r="496">
      <c r="A496" s="1" t="s">
        <v>3</v>
      </c>
      <c r="B496" s="3">
        <f>IFERROR(__xludf.DUMMYFUNCTION("""COMPUTED_VALUE"""),45974.6875)</f>
        <v>45974.6875</v>
      </c>
      <c r="C496" s="4">
        <f>IFERROR(__xludf.DUMMYFUNCTION("""COMPUTED_VALUE"""),427.25)</f>
        <v>427.25</v>
      </c>
      <c r="D496" s="4">
        <f t="shared" si="2"/>
        <v>-0.004195315231</v>
      </c>
      <c r="E496" s="2"/>
    </row>
    <row r="497">
      <c r="A497" s="1" t="s">
        <v>3</v>
      </c>
      <c r="B497" s="3">
        <f>IFERROR(__xludf.DUMMYFUNCTION("""COMPUTED_VALUE"""),45975.6875)</f>
        <v>45975.6875</v>
      </c>
      <c r="C497" s="4">
        <f>IFERROR(__xludf.DUMMYFUNCTION("""COMPUTED_VALUE"""),413.5)</f>
        <v>413.5</v>
      </c>
      <c r="D497" s="4">
        <f t="shared" si="2"/>
        <v>-0.0321825629</v>
      </c>
      <c r="E497" s="2"/>
    </row>
    <row r="498">
      <c r="A498" s="1" t="s">
        <v>3</v>
      </c>
      <c r="B498" s="3">
        <f>IFERROR(__xludf.DUMMYFUNCTION("""COMPUTED_VALUE"""),45978.6875)</f>
        <v>45978.6875</v>
      </c>
      <c r="C498" s="4">
        <f>IFERROR(__xludf.DUMMYFUNCTION("""COMPUTED_VALUE"""),410.8)</f>
        <v>410.8</v>
      </c>
      <c r="D498" s="4">
        <f t="shared" si="2"/>
        <v>-0.006529625151</v>
      </c>
      <c r="E498" s="2"/>
    </row>
    <row r="499">
      <c r="A499" s="1" t="s">
        <v>3</v>
      </c>
      <c r="B499" s="3">
        <f>IFERROR(__xludf.DUMMYFUNCTION("""COMPUTED_VALUE"""),45979.6875)</f>
        <v>45979.6875</v>
      </c>
      <c r="C499" s="4">
        <f>IFERROR(__xludf.DUMMYFUNCTION("""COMPUTED_VALUE"""),399.8)</f>
        <v>399.8</v>
      </c>
      <c r="D499" s="4">
        <f t="shared" si="2"/>
        <v>-0.02677702045</v>
      </c>
      <c r="E499" s="2"/>
    </row>
    <row r="500">
      <c r="A500" s="1" t="s">
        <v>3</v>
      </c>
      <c r="B500" s="3">
        <f>IFERROR(__xludf.DUMMYFUNCTION("""COMPUTED_VALUE"""),45980.6875)</f>
        <v>45980.6875</v>
      </c>
      <c r="C500" s="4">
        <f>IFERROR(__xludf.DUMMYFUNCTION("""COMPUTED_VALUE"""),399.6)</f>
        <v>399.6</v>
      </c>
      <c r="D500" s="4">
        <f t="shared" si="2"/>
        <v>-0.0005002501251</v>
      </c>
      <c r="E500" s="2"/>
    </row>
    <row r="501">
      <c r="A501" s="1" t="s">
        <v>3</v>
      </c>
      <c r="B501" s="3">
        <f>IFERROR(__xludf.DUMMYFUNCTION("""COMPUTED_VALUE"""),45981.6875)</f>
        <v>45981.6875</v>
      </c>
      <c r="C501" s="4">
        <f>IFERROR(__xludf.DUMMYFUNCTION("""COMPUTED_VALUE"""),397.75)</f>
        <v>397.75</v>
      </c>
      <c r="D501" s="4">
        <f t="shared" si="2"/>
        <v>-0.00462962963</v>
      </c>
      <c r="E501" s="2"/>
    </row>
    <row r="502">
      <c r="A502" s="1" t="s">
        <v>3</v>
      </c>
      <c r="B502" s="3">
        <f>IFERROR(__xludf.DUMMYFUNCTION("""COMPUTED_VALUE"""),45982.6875)</f>
        <v>45982.6875</v>
      </c>
      <c r="C502" s="4">
        <f>IFERROR(__xludf.DUMMYFUNCTION("""COMPUTED_VALUE"""),392.2)</f>
        <v>392.2</v>
      </c>
      <c r="D502" s="4">
        <f t="shared" si="2"/>
        <v>-0.01395348837</v>
      </c>
      <c r="E502" s="2"/>
    </row>
    <row r="503">
      <c r="A503" s="1" t="s">
        <v>3</v>
      </c>
      <c r="B503" s="3">
        <f>IFERROR(__xludf.DUMMYFUNCTION("""COMPUTED_VALUE"""),45985.6875)</f>
        <v>45985.6875</v>
      </c>
      <c r="C503" s="4">
        <f>IFERROR(__xludf.DUMMYFUNCTION("""COMPUTED_VALUE"""),400.6)</f>
        <v>400.6</v>
      </c>
      <c r="D503" s="4">
        <f t="shared" si="2"/>
        <v>0.02141764406</v>
      </c>
      <c r="E503" s="2"/>
    </row>
    <row r="504">
      <c r="A504" s="1" t="s">
        <v>3</v>
      </c>
      <c r="B504" s="3">
        <f>IFERROR(__xludf.DUMMYFUNCTION("""COMPUTED_VALUE"""),45986.6875)</f>
        <v>45986.6875</v>
      </c>
      <c r="C504" s="4">
        <f>IFERROR(__xludf.DUMMYFUNCTION("""COMPUTED_VALUE"""),410.0)</f>
        <v>410</v>
      </c>
      <c r="D504" s="4">
        <f t="shared" si="2"/>
        <v>0.0234648028</v>
      </c>
      <c r="E504" s="2"/>
    </row>
    <row r="505">
      <c r="A505" s="1" t="s">
        <v>3</v>
      </c>
      <c r="B505" s="3">
        <f>IFERROR(__xludf.DUMMYFUNCTION("""COMPUTED_VALUE"""),45987.6875)</f>
        <v>45987.6875</v>
      </c>
      <c r="C505" s="4">
        <f>IFERROR(__xludf.DUMMYFUNCTION("""COMPUTED_VALUE"""),422.95)</f>
        <v>422.95</v>
      </c>
      <c r="D505" s="4">
        <f t="shared" si="2"/>
        <v>0.03158536585</v>
      </c>
      <c r="E505" s="2"/>
    </row>
    <row r="506">
      <c r="A506" s="1" t="s">
        <v>3</v>
      </c>
      <c r="B506" s="3">
        <f>IFERROR(__xludf.DUMMYFUNCTION("""COMPUTED_VALUE"""),45988.6875)</f>
        <v>45988.6875</v>
      </c>
      <c r="C506" s="4">
        <f>IFERROR(__xludf.DUMMYFUNCTION("""COMPUTED_VALUE"""),429.95)</f>
        <v>429.95</v>
      </c>
      <c r="D506" s="4">
        <f t="shared" si="2"/>
        <v>0.01655041967</v>
      </c>
      <c r="E506" s="2"/>
    </row>
    <row r="507">
      <c r="A507" s="1" t="s">
        <v>3</v>
      </c>
      <c r="B507" s="3">
        <f>IFERROR(__xludf.DUMMYFUNCTION("""COMPUTED_VALUE"""),45989.6875)</f>
        <v>45989.6875</v>
      </c>
      <c r="C507" s="4">
        <f>IFERROR(__xludf.DUMMYFUNCTION("""COMPUTED_VALUE"""),430.25)</f>
        <v>430.25</v>
      </c>
      <c r="D507" s="4">
        <f t="shared" si="2"/>
        <v>0.000697755553</v>
      </c>
      <c r="E507" s="2"/>
    </row>
    <row r="508">
      <c r="A508" s="1" t="s">
        <v>3</v>
      </c>
      <c r="B508" s="3">
        <f>IFERROR(__xludf.DUMMYFUNCTION("""COMPUTED_VALUE"""),45992.6875)</f>
        <v>45992.6875</v>
      </c>
      <c r="C508" s="4">
        <f>IFERROR(__xludf.DUMMYFUNCTION("""COMPUTED_VALUE"""),429.6)</f>
        <v>429.6</v>
      </c>
      <c r="D508" s="4">
        <f t="shared" si="2"/>
        <v>-0.001510749564</v>
      </c>
      <c r="E508" s="2"/>
    </row>
    <row r="509">
      <c r="A509" s="1" t="s">
        <v>3</v>
      </c>
      <c r="B509" s="3">
        <f>IFERROR(__xludf.DUMMYFUNCTION("""COMPUTED_VALUE"""),45993.6875)</f>
        <v>45993.6875</v>
      </c>
      <c r="C509" s="4">
        <f>IFERROR(__xludf.DUMMYFUNCTION("""COMPUTED_VALUE"""),436.4)</f>
        <v>436.4</v>
      </c>
      <c r="D509" s="4">
        <f t="shared" si="2"/>
        <v>0.01582867784</v>
      </c>
      <c r="E509" s="2"/>
    </row>
    <row r="510">
      <c r="A510" s="1" t="s">
        <v>3</v>
      </c>
      <c r="B510" s="3">
        <f>IFERROR(__xludf.DUMMYFUNCTION("""COMPUTED_VALUE"""),45994.6875)</f>
        <v>45994.6875</v>
      </c>
      <c r="C510" s="4">
        <f>IFERROR(__xludf.DUMMYFUNCTION("""COMPUTED_VALUE"""),433.35)</f>
        <v>433.35</v>
      </c>
      <c r="D510" s="4">
        <f t="shared" si="2"/>
        <v>-0.006989000917</v>
      </c>
      <c r="E510" s="2"/>
    </row>
    <row r="511">
      <c r="A511" s="1" t="s">
        <v>3</v>
      </c>
      <c r="B511" s="3">
        <f>IFERROR(__xludf.DUMMYFUNCTION("""COMPUTED_VALUE"""),45995.6875)</f>
        <v>45995.6875</v>
      </c>
      <c r="C511" s="4">
        <f>IFERROR(__xludf.DUMMYFUNCTION("""COMPUTED_VALUE"""),439.2)</f>
        <v>439.2</v>
      </c>
      <c r="D511" s="4">
        <f t="shared" si="2"/>
        <v>0.01349948079</v>
      </c>
      <c r="E511" s="2"/>
    </row>
    <row r="512">
      <c r="A512" s="1" t="s">
        <v>3</v>
      </c>
      <c r="B512" s="3">
        <f>IFERROR(__xludf.DUMMYFUNCTION("""COMPUTED_VALUE"""),45996.6875)</f>
        <v>45996.6875</v>
      </c>
      <c r="C512" s="4">
        <f>IFERROR(__xludf.DUMMYFUNCTION("""COMPUTED_VALUE"""),434.4)</f>
        <v>434.4</v>
      </c>
      <c r="D512" s="4">
        <f t="shared" si="2"/>
        <v>-0.01092896175</v>
      </c>
      <c r="E512" s="2"/>
    </row>
    <row r="513">
      <c r="A513" s="1" t="s">
        <v>3</v>
      </c>
      <c r="B513" s="3">
        <f>IFERROR(__xludf.DUMMYFUNCTION("""COMPUTED_VALUE"""),45999.6875)</f>
        <v>45999.6875</v>
      </c>
      <c r="C513" s="4">
        <f>IFERROR(__xludf.DUMMYFUNCTION("""COMPUTED_VALUE"""),437.0)</f>
        <v>437</v>
      </c>
      <c r="D513" s="4">
        <f t="shared" si="2"/>
        <v>0.005985267035</v>
      </c>
      <c r="E513" s="2"/>
    </row>
    <row r="514">
      <c r="A514" s="2"/>
      <c r="B514" s="1"/>
      <c r="C514" s="1"/>
      <c r="D514" s="4"/>
      <c r="E514" s="2"/>
    </row>
    <row r="515">
      <c r="A515" s="2"/>
      <c r="B515" s="1"/>
      <c r="C515" s="1"/>
      <c r="D515" s="4"/>
      <c r="E515" s="2"/>
    </row>
    <row r="516">
      <c r="A516" s="2"/>
      <c r="B516" s="1"/>
      <c r="C516" s="1"/>
      <c r="D516" s="4"/>
      <c r="E516" s="2"/>
    </row>
    <row r="517">
      <c r="A517" s="2"/>
      <c r="B517" s="1"/>
      <c r="C517" s="1"/>
      <c r="D517" s="4"/>
      <c r="E517" s="2"/>
    </row>
    <row r="518">
      <c r="A518" s="2"/>
      <c r="B518" s="1"/>
      <c r="C518" s="1"/>
      <c r="D518" s="4"/>
      <c r="E518" s="2"/>
    </row>
    <row r="519">
      <c r="A519" s="2"/>
      <c r="B519" s="1"/>
      <c r="C519" s="1"/>
      <c r="D519" s="4"/>
      <c r="E519" s="2"/>
    </row>
    <row r="520">
      <c r="A520" s="2"/>
      <c r="B520" s="1"/>
      <c r="C520" s="1"/>
      <c r="D520" s="4"/>
      <c r="E520" s="2"/>
    </row>
    <row r="521">
      <c r="A521" s="2"/>
      <c r="B521" s="1"/>
      <c r="C521" s="1"/>
      <c r="D521" s="4"/>
      <c r="E521" s="2"/>
    </row>
    <row r="522">
      <c r="A522" s="2"/>
      <c r="B522" s="1"/>
      <c r="C522" s="1"/>
      <c r="D522" s="4"/>
      <c r="E522" s="2"/>
    </row>
    <row r="523">
      <c r="A523" s="2"/>
      <c r="B523" s="1"/>
      <c r="C523" s="1"/>
      <c r="D523" s="4"/>
      <c r="E523" s="2"/>
    </row>
    <row r="524">
      <c r="A524" s="2"/>
      <c r="B524" s="1" t="str">
        <f>IFERROR(__xludf.DUMMYFUNCTION("GOOGLEFINANCE(A525,""Price"",edate(today(),-12),today())"),"Date")</f>
        <v>Date</v>
      </c>
      <c r="C524" s="1" t="str">
        <f>IFERROR(__xludf.DUMMYFUNCTION("""COMPUTED_VALUE"""),"Close")</f>
        <v>Close</v>
      </c>
      <c r="D524" s="4"/>
      <c r="E524" s="2"/>
    </row>
    <row r="525">
      <c r="A525" s="1" t="s">
        <v>4</v>
      </c>
      <c r="B525" s="3">
        <f>IFERROR(__xludf.DUMMYFUNCTION("""COMPUTED_VALUE"""),45635.6875)</f>
        <v>45635.6875</v>
      </c>
      <c r="C525" s="4">
        <f>IFERROR(__xludf.DUMMYFUNCTION("""COMPUTED_VALUE"""),812.0)</f>
        <v>812</v>
      </c>
      <c r="D525" s="4"/>
      <c r="E525" s="2"/>
    </row>
    <row r="526">
      <c r="A526" s="1" t="s">
        <v>4</v>
      </c>
      <c r="B526" s="3">
        <f>IFERROR(__xludf.DUMMYFUNCTION("""COMPUTED_VALUE"""),45636.6875)</f>
        <v>45636.6875</v>
      </c>
      <c r="C526" s="4">
        <f>IFERROR(__xludf.DUMMYFUNCTION("""COMPUTED_VALUE"""),811.8)</f>
        <v>811.8</v>
      </c>
      <c r="D526" s="4">
        <f t="shared" ref="D526:D777" si="3">(C526-C525)/C525</f>
        <v>-0.0002463054187</v>
      </c>
      <c r="E526" s="2"/>
    </row>
    <row r="527">
      <c r="A527" s="1" t="s">
        <v>4</v>
      </c>
      <c r="B527" s="3">
        <f>IFERROR(__xludf.DUMMYFUNCTION("""COMPUTED_VALUE"""),45637.6875)</f>
        <v>45637.6875</v>
      </c>
      <c r="C527" s="4">
        <f>IFERROR(__xludf.DUMMYFUNCTION("""COMPUTED_VALUE"""),821.2)</f>
        <v>821.2</v>
      </c>
      <c r="D527" s="4">
        <f t="shared" si="3"/>
        <v>0.0115792067</v>
      </c>
      <c r="E527" s="2"/>
    </row>
    <row r="528">
      <c r="A528" s="1" t="s">
        <v>4</v>
      </c>
      <c r="B528" s="3">
        <f>IFERROR(__xludf.DUMMYFUNCTION("""COMPUTED_VALUE"""),45638.6875)</f>
        <v>45638.6875</v>
      </c>
      <c r="C528" s="4">
        <f>IFERROR(__xludf.DUMMYFUNCTION("""COMPUTED_VALUE"""),820.0)</f>
        <v>820</v>
      </c>
      <c r="D528" s="4">
        <f t="shared" si="3"/>
        <v>-0.001461276181</v>
      </c>
      <c r="E528" s="2"/>
    </row>
    <row r="529">
      <c r="A529" s="1" t="s">
        <v>4</v>
      </c>
      <c r="B529" s="3">
        <f>IFERROR(__xludf.DUMMYFUNCTION("""COMPUTED_VALUE"""),45639.6875)</f>
        <v>45639.6875</v>
      </c>
      <c r="C529" s="4">
        <f>IFERROR(__xludf.DUMMYFUNCTION("""COMPUTED_VALUE"""),815.0)</f>
        <v>815</v>
      </c>
      <c r="D529" s="4">
        <f t="shared" si="3"/>
        <v>-0.006097560976</v>
      </c>
      <c r="E529" s="2"/>
    </row>
    <row r="530">
      <c r="A530" s="1" t="s">
        <v>4</v>
      </c>
      <c r="B530" s="3">
        <f>IFERROR(__xludf.DUMMYFUNCTION("""COMPUTED_VALUE"""),45642.6875)</f>
        <v>45642.6875</v>
      </c>
      <c r="C530" s="4">
        <f>IFERROR(__xludf.DUMMYFUNCTION("""COMPUTED_VALUE"""),763.8)</f>
        <v>763.8</v>
      </c>
      <c r="D530" s="4">
        <f t="shared" si="3"/>
        <v>-0.06282208589</v>
      </c>
      <c r="E530" s="2"/>
    </row>
    <row r="531">
      <c r="A531" s="1" t="s">
        <v>4</v>
      </c>
      <c r="B531" s="3">
        <f>IFERROR(__xludf.DUMMYFUNCTION("""COMPUTED_VALUE"""),45643.6875)</f>
        <v>45643.6875</v>
      </c>
      <c r="C531" s="4">
        <f>IFERROR(__xludf.DUMMYFUNCTION("""COMPUTED_VALUE"""),752.0)</f>
        <v>752</v>
      </c>
      <c r="D531" s="4">
        <f t="shared" si="3"/>
        <v>-0.01544907044</v>
      </c>
      <c r="E531" s="2"/>
    </row>
    <row r="532">
      <c r="A532" s="1" t="s">
        <v>4</v>
      </c>
      <c r="B532" s="3">
        <f>IFERROR(__xludf.DUMMYFUNCTION("""COMPUTED_VALUE"""),45644.6875)</f>
        <v>45644.6875</v>
      </c>
      <c r="C532" s="4">
        <f>IFERROR(__xludf.DUMMYFUNCTION("""COMPUTED_VALUE"""),732.0)</f>
        <v>732</v>
      </c>
      <c r="D532" s="4">
        <f t="shared" si="3"/>
        <v>-0.02659574468</v>
      </c>
      <c r="E532" s="2"/>
    </row>
    <row r="533">
      <c r="A533" s="1" t="s">
        <v>4</v>
      </c>
      <c r="B533" s="3">
        <f>IFERROR(__xludf.DUMMYFUNCTION("""COMPUTED_VALUE"""),45645.6875)</f>
        <v>45645.6875</v>
      </c>
      <c r="C533" s="4">
        <f>IFERROR(__xludf.DUMMYFUNCTION("""COMPUTED_VALUE"""),713.6)</f>
        <v>713.6</v>
      </c>
      <c r="D533" s="4">
        <f t="shared" si="3"/>
        <v>-0.02513661202</v>
      </c>
      <c r="E533" s="2"/>
    </row>
    <row r="534">
      <c r="A534" s="1" t="s">
        <v>4</v>
      </c>
      <c r="B534" s="3">
        <f>IFERROR(__xludf.DUMMYFUNCTION("""COMPUTED_VALUE"""),45646.6875)</f>
        <v>45646.6875</v>
      </c>
      <c r="C534" s="4">
        <f>IFERROR(__xludf.DUMMYFUNCTION("""COMPUTED_VALUE"""),707.6)</f>
        <v>707.6</v>
      </c>
      <c r="D534" s="4">
        <f t="shared" si="3"/>
        <v>-0.008408071749</v>
      </c>
      <c r="E534" s="2"/>
    </row>
    <row r="535">
      <c r="A535" s="1" t="s">
        <v>4</v>
      </c>
      <c r="B535" s="3">
        <f>IFERROR(__xludf.DUMMYFUNCTION("""COMPUTED_VALUE"""),45649.6875)</f>
        <v>45649.6875</v>
      </c>
      <c r="C535" s="4">
        <f>IFERROR(__xludf.DUMMYFUNCTION("""COMPUTED_VALUE"""),690.0)</f>
        <v>690</v>
      </c>
      <c r="D535" s="4">
        <f t="shared" si="3"/>
        <v>-0.0248728095</v>
      </c>
      <c r="E535" s="2"/>
    </row>
    <row r="536">
      <c r="A536" s="1" t="s">
        <v>4</v>
      </c>
      <c r="B536" s="3">
        <f>IFERROR(__xludf.DUMMYFUNCTION("""COMPUTED_VALUE"""),45650.52083333333)</f>
        <v>45650.52083</v>
      </c>
      <c r="C536" s="4">
        <f>IFERROR(__xludf.DUMMYFUNCTION("""COMPUTED_VALUE"""),681.4)</f>
        <v>681.4</v>
      </c>
      <c r="D536" s="4">
        <f t="shared" si="3"/>
        <v>-0.01246376812</v>
      </c>
      <c r="E536" s="2"/>
    </row>
    <row r="537">
      <c r="A537" s="1" t="s">
        <v>4</v>
      </c>
      <c r="B537" s="3">
        <f>IFERROR(__xludf.DUMMYFUNCTION("""COMPUTED_VALUE"""),45653.6875)</f>
        <v>45653.6875</v>
      </c>
      <c r="C537" s="4">
        <f>IFERROR(__xludf.DUMMYFUNCTION("""COMPUTED_VALUE"""),677.0)</f>
        <v>677</v>
      </c>
      <c r="D537" s="4">
        <f t="shared" si="3"/>
        <v>-0.006457293807</v>
      </c>
      <c r="E537" s="2"/>
    </row>
    <row r="538">
      <c r="A538" s="1" t="s">
        <v>4</v>
      </c>
      <c r="B538" s="3">
        <f>IFERROR(__xludf.DUMMYFUNCTION("""COMPUTED_VALUE"""),45656.6875)</f>
        <v>45656.6875</v>
      </c>
      <c r="C538" s="4">
        <f>IFERROR(__xludf.DUMMYFUNCTION("""COMPUTED_VALUE"""),681.0)</f>
        <v>681</v>
      </c>
      <c r="D538" s="4">
        <f t="shared" si="3"/>
        <v>0.005908419498</v>
      </c>
      <c r="E538" s="2"/>
    </row>
    <row r="539">
      <c r="A539" s="1" t="s">
        <v>4</v>
      </c>
      <c r="B539" s="3">
        <f>IFERROR(__xludf.DUMMYFUNCTION("""COMPUTED_VALUE"""),45657.52083333333)</f>
        <v>45657.52083</v>
      </c>
      <c r="C539" s="4">
        <f>IFERROR(__xludf.DUMMYFUNCTION("""COMPUTED_VALUE"""),687.2)</f>
        <v>687.2</v>
      </c>
      <c r="D539" s="4">
        <f t="shared" si="3"/>
        <v>0.009104258443</v>
      </c>
      <c r="E539" s="2"/>
    </row>
    <row r="540">
      <c r="A540" s="1" t="s">
        <v>4</v>
      </c>
      <c r="B540" s="3">
        <f>IFERROR(__xludf.DUMMYFUNCTION("""COMPUTED_VALUE"""),45659.6875)</f>
        <v>45659.6875</v>
      </c>
      <c r="C540" s="4">
        <f>IFERROR(__xludf.DUMMYFUNCTION("""COMPUTED_VALUE"""),694.8)</f>
        <v>694.8</v>
      </c>
      <c r="D540" s="4">
        <f t="shared" si="3"/>
        <v>0.01105937136</v>
      </c>
      <c r="E540" s="2"/>
    </row>
    <row r="541">
      <c r="A541" s="1" t="s">
        <v>4</v>
      </c>
      <c r="B541" s="3">
        <f>IFERROR(__xludf.DUMMYFUNCTION("""COMPUTED_VALUE"""),45660.6875)</f>
        <v>45660.6875</v>
      </c>
      <c r="C541" s="4">
        <f>IFERROR(__xludf.DUMMYFUNCTION("""COMPUTED_VALUE"""),676.4)</f>
        <v>676.4</v>
      </c>
      <c r="D541" s="4">
        <f t="shared" si="3"/>
        <v>-0.02648244099</v>
      </c>
      <c r="E541" s="2"/>
    </row>
    <row r="542">
      <c r="A542" s="1" t="s">
        <v>4</v>
      </c>
      <c r="B542" s="3">
        <f>IFERROR(__xludf.DUMMYFUNCTION("""COMPUTED_VALUE"""),45663.6875)</f>
        <v>45663.6875</v>
      </c>
      <c r="C542" s="4">
        <f>IFERROR(__xludf.DUMMYFUNCTION("""COMPUTED_VALUE"""),692.8)</f>
        <v>692.8</v>
      </c>
      <c r="D542" s="4">
        <f t="shared" si="3"/>
        <v>0.02424600828</v>
      </c>
      <c r="E542" s="2"/>
    </row>
    <row r="543">
      <c r="A543" s="1" t="s">
        <v>4</v>
      </c>
      <c r="B543" s="3">
        <f>IFERROR(__xludf.DUMMYFUNCTION("""COMPUTED_VALUE"""),45664.6875)</f>
        <v>45664.6875</v>
      </c>
      <c r="C543" s="4">
        <f>IFERROR(__xludf.DUMMYFUNCTION("""COMPUTED_VALUE"""),697.6)</f>
        <v>697.6</v>
      </c>
      <c r="D543" s="4">
        <f t="shared" si="3"/>
        <v>0.006928406467</v>
      </c>
      <c r="E543" s="2"/>
    </row>
    <row r="544">
      <c r="A544" s="1" t="s">
        <v>4</v>
      </c>
      <c r="B544" s="3">
        <f>IFERROR(__xludf.DUMMYFUNCTION("""COMPUTED_VALUE"""),45665.6875)</f>
        <v>45665.6875</v>
      </c>
      <c r="C544" s="4">
        <f>IFERROR(__xludf.DUMMYFUNCTION("""COMPUTED_VALUE"""),678.8)</f>
        <v>678.8</v>
      </c>
      <c r="D544" s="4">
        <f t="shared" si="3"/>
        <v>-0.02694954128</v>
      </c>
      <c r="E544" s="2"/>
    </row>
    <row r="545">
      <c r="A545" s="1" t="s">
        <v>4</v>
      </c>
      <c r="B545" s="3">
        <f>IFERROR(__xludf.DUMMYFUNCTION("""COMPUTED_VALUE"""),45666.6875)</f>
        <v>45666.6875</v>
      </c>
      <c r="C545" s="4">
        <f>IFERROR(__xludf.DUMMYFUNCTION("""COMPUTED_VALUE"""),648.8)</f>
        <v>648.8</v>
      </c>
      <c r="D545" s="4">
        <f t="shared" si="3"/>
        <v>-0.04419563936</v>
      </c>
      <c r="E545" s="2"/>
    </row>
    <row r="546">
      <c r="A546" s="1" t="s">
        <v>4</v>
      </c>
      <c r="B546" s="3">
        <f>IFERROR(__xludf.DUMMYFUNCTION("""COMPUTED_VALUE"""),45667.6875)</f>
        <v>45667.6875</v>
      </c>
      <c r="C546" s="4">
        <f>IFERROR(__xludf.DUMMYFUNCTION("""COMPUTED_VALUE"""),624.2)</f>
        <v>624.2</v>
      </c>
      <c r="D546" s="4">
        <f t="shared" si="3"/>
        <v>-0.0379161529</v>
      </c>
      <c r="E546" s="2"/>
    </row>
    <row r="547">
      <c r="A547" s="1" t="s">
        <v>4</v>
      </c>
      <c r="B547" s="3">
        <f>IFERROR(__xludf.DUMMYFUNCTION("""COMPUTED_VALUE"""),45670.6875)</f>
        <v>45670.6875</v>
      </c>
      <c r="C547" s="4">
        <f>IFERROR(__xludf.DUMMYFUNCTION("""COMPUTED_VALUE"""),624.2)</f>
        <v>624.2</v>
      </c>
      <c r="D547" s="4">
        <f t="shared" si="3"/>
        <v>0</v>
      </c>
      <c r="E547" s="2"/>
    </row>
    <row r="548">
      <c r="A548" s="1" t="s">
        <v>4</v>
      </c>
      <c r="B548" s="3">
        <f>IFERROR(__xludf.DUMMYFUNCTION("""COMPUTED_VALUE"""),45671.6875)</f>
        <v>45671.6875</v>
      </c>
      <c r="C548" s="4">
        <f>IFERROR(__xludf.DUMMYFUNCTION("""COMPUTED_VALUE"""),614.0)</f>
        <v>614</v>
      </c>
      <c r="D548" s="4">
        <f t="shared" si="3"/>
        <v>-0.01634091637</v>
      </c>
      <c r="E548" s="2"/>
    </row>
    <row r="549">
      <c r="A549" s="1" t="s">
        <v>4</v>
      </c>
      <c r="B549" s="3">
        <f>IFERROR(__xludf.DUMMYFUNCTION("""COMPUTED_VALUE"""),45672.6875)</f>
        <v>45672.6875</v>
      </c>
      <c r="C549" s="4">
        <f>IFERROR(__xludf.DUMMYFUNCTION("""COMPUTED_VALUE"""),623.2)</f>
        <v>623.2</v>
      </c>
      <c r="D549" s="4">
        <f t="shared" si="3"/>
        <v>0.01498371336</v>
      </c>
      <c r="E549" s="2"/>
    </row>
    <row r="550">
      <c r="A550" s="1" t="s">
        <v>4</v>
      </c>
      <c r="B550" s="3">
        <f>IFERROR(__xludf.DUMMYFUNCTION("""COMPUTED_VALUE"""),45673.6875)</f>
        <v>45673.6875</v>
      </c>
      <c r="C550" s="4">
        <f>IFERROR(__xludf.DUMMYFUNCTION("""COMPUTED_VALUE"""),630.0)</f>
        <v>630</v>
      </c>
      <c r="D550" s="4">
        <f t="shared" si="3"/>
        <v>0.0109114249</v>
      </c>
      <c r="E550" s="2"/>
    </row>
    <row r="551">
      <c r="A551" s="1" t="s">
        <v>4</v>
      </c>
      <c r="B551" s="3">
        <f>IFERROR(__xludf.DUMMYFUNCTION("""COMPUTED_VALUE"""),45674.6875)</f>
        <v>45674.6875</v>
      </c>
      <c r="C551" s="4">
        <f>IFERROR(__xludf.DUMMYFUNCTION("""COMPUTED_VALUE"""),669.6)</f>
        <v>669.6</v>
      </c>
      <c r="D551" s="4">
        <f t="shared" si="3"/>
        <v>0.06285714286</v>
      </c>
      <c r="E551" s="2"/>
    </row>
    <row r="552">
      <c r="A552" s="1" t="s">
        <v>4</v>
      </c>
      <c r="B552" s="3">
        <f>IFERROR(__xludf.DUMMYFUNCTION("""COMPUTED_VALUE"""),45677.6875)</f>
        <v>45677.6875</v>
      </c>
      <c r="C552" s="4">
        <f>IFERROR(__xludf.DUMMYFUNCTION("""COMPUTED_VALUE"""),676.6)</f>
        <v>676.6</v>
      </c>
      <c r="D552" s="4">
        <f t="shared" si="3"/>
        <v>0.01045400239</v>
      </c>
      <c r="E552" s="2"/>
    </row>
    <row r="553">
      <c r="A553" s="1" t="s">
        <v>4</v>
      </c>
      <c r="B553" s="3">
        <f>IFERROR(__xludf.DUMMYFUNCTION("""COMPUTED_VALUE"""),45678.6875)</f>
        <v>45678.6875</v>
      </c>
      <c r="C553" s="4">
        <f>IFERROR(__xludf.DUMMYFUNCTION("""COMPUTED_VALUE"""),679.6)</f>
        <v>679.6</v>
      </c>
      <c r="D553" s="4">
        <f t="shared" si="3"/>
        <v>0.004433934378</v>
      </c>
      <c r="E553" s="2"/>
    </row>
    <row r="554">
      <c r="A554" s="1" t="s">
        <v>4</v>
      </c>
      <c r="B554" s="3">
        <f>IFERROR(__xludf.DUMMYFUNCTION("""COMPUTED_VALUE"""),45679.6875)</f>
        <v>45679.6875</v>
      </c>
      <c r="C554" s="4">
        <f>IFERROR(__xludf.DUMMYFUNCTION("""COMPUTED_VALUE"""),706.8)</f>
        <v>706.8</v>
      </c>
      <c r="D554" s="4">
        <f t="shared" si="3"/>
        <v>0.04002354326</v>
      </c>
      <c r="E554" s="2"/>
    </row>
    <row r="555">
      <c r="A555" s="1" t="s">
        <v>4</v>
      </c>
      <c r="B555" s="3">
        <f>IFERROR(__xludf.DUMMYFUNCTION("""COMPUTED_VALUE"""),45680.6875)</f>
        <v>45680.6875</v>
      </c>
      <c r="C555" s="4">
        <f>IFERROR(__xludf.DUMMYFUNCTION("""COMPUTED_VALUE"""),676.6)</f>
        <v>676.6</v>
      </c>
      <c r="D555" s="4">
        <f t="shared" si="3"/>
        <v>-0.04272778721</v>
      </c>
      <c r="E555" s="2"/>
    </row>
    <row r="556">
      <c r="A556" s="1" t="s">
        <v>4</v>
      </c>
      <c r="B556" s="3">
        <f>IFERROR(__xludf.DUMMYFUNCTION("""COMPUTED_VALUE"""),45681.6875)</f>
        <v>45681.6875</v>
      </c>
      <c r="C556" s="4">
        <f>IFERROR(__xludf.DUMMYFUNCTION("""COMPUTED_VALUE"""),674.0)</f>
        <v>674</v>
      </c>
      <c r="D556" s="4">
        <f t="shared" si="3"/>
        <v>-0.003842743127</v>
      </c>
      <c r="E556" s="2"/>
    </row>
    <row r="557">
      <c r="A557" s="1" t="s">
        <v>4</v>
      </c>
      <c r="B557" s="3">
        <f>IFERROR(__xludf.DUMMYFUNCTION("""COMPUTED_VALUE"""),45684.6875)</f>
        <v>45684.6875</v>
      </c>
      <c r="C557" s="4">
        <f>IFERROR(__xludf.DUMMYFUNCTION("""COMPUTED_VALUE"""),684.2)</f>
        <v>684.2</v>
      </c>
      <c r="D557" s="4">
        <f t="shared" si="3"/>
        <v>0.01513353116</v>
      </c>
      <c r="E557" s="2"/>
    </row>
    <row r="558">
      <c r="A558" s="1" t="s">
        <v>4</v>
      </c>
      <c r="B558" s="3">
        <f>IFERROR(__xludf.DUMMYFUNCTION("""COMPUTED_VALUE"""),45685.6875)</f>
        <v>45685.6875</v>
      </c>
      <c r="C558" s="4">
        <f>IFERROR(__xludf.DUMMYFUNCTION("""COMPUTED_VALUE"""),702.4)</f>
        <v>702.4</v>
      </c>
      <c r="D558" s="4">
        <f t="shared" si="3"/>
        <v>0.02660040924</v>
      </c>
      <c r="E558" s="2"/>
    </row>
    <row r="559">
      <c r="A559" s="1" t="s">
        <v>4</v>
      </c>
      <c r="B559" s="3">
        <f>IFERROR(__xludf.DUMMYFUNCTION("""COMPUTED_VALUE"""),45686.6875)</f>
        <v>45686.6875</v>
      </c>
      <c r="C559" s="4">
        <f>IFERROR(__xludf.DUMMYFUNCTION("""COMPUTED_VALUE"""),698.0)</f>
        <v>698</v>
      </c>
      <c r="D559" s="4">
        <f t="shared" si="3"/>
        <v>-0.006264236902</v>
      </c>
      <c r="E559" s="2"/>
    </row>
    <row r="560">
      <c r="A560" s="1" t="s">
        <v>4</v>
      </c>
      <c r="B560" s="3">
        <f>IFERROR(__xludf.DUMMYFUNCTION("""COMPUTED_VALUE"""),45687.6875)</f>
        <v>45687.6875</v>
      </c>
      <c r="C560" s="4">
        <f>IFERROR(__xludf.DUMMYFUNCTION("""COMPUTED_VALUE"""),700.6)</f>
        <v>700.6</v>
      </c>
      <c r="D560" s="4">
        <f t="shared" si="3"/>
        <v>0.003724928367</v>
      </c>
      <c r="E560" s="2"/>
    </row>
    <row r="561">
      <c r="A561" s="1" t="s">
        <v>4</v>
      </c>
      <c r="B561" s="3">
        <f>IFERROR(__xludf.DUMMYFUNCTION("""COMPUTED_VALUE"""),45688.6875)</f>
        <v>45688.6875</v>
      </c>
      <c r="C561" s="4">
        <f>IFERROR(__xludf.DUMMYFUNCTION("""COMPUTED_VALUE"""),706.8)</f>
        <v>706.8</v>
      </c>
      <c r="D561" s="4">
        <f t="shared" si="3"/>
        <v>0.008849557522</v>
      </c>
      <c r="E561" s="2"/>
    </row>
    <row r="562">
      <c r="A562" s="1" t="s">
        <v>4</v>
      </c>
      <c r="B562" s="3">
        <f>IFERROR(__xludf.DUMMYFUNCTION("""COMPUTED_VALUE"""),45691.6875)</f>
        <v>45691.6875</v>
      </c>
      <c r="C562" s="4">
        <f>IFERROR(__xludf.DUMMYFUNCTION("""COMPUTED_VALUE"""),695.0)</f>
        <v>695</v>
      </c>
      <c r="D562" s="4">
        <f t="shared" si="3"/>
        <v>-0.01669496321</v>
      </c>
      <c r="E562" s="2"/>
    </row>
    <row r="563">
      <c r="A563" s="1" t="s">
        <v>4</v>
      </c>
      <c r="B563" s="3">
        <f>IFERROR(__xludf.DUMMYFUNCTION("""COMPUTED_VALUE"""),45692.6875)</f>
        <v>45692.6875</v>
      </c>
      <c r="C563" s="4">
        <f>IFERROR(__xludf.DUMMYFUNCTION("""COMPUTED_VALUE"""),734.8)</f>
        <v>734.8</v>
      </c>
      <c r="D563" s="4">
        <f t="shared" si="3"/>
        <v>0.05726618705</v>
      </c>
      <c r="E563" s="2"/>
    </row>
    <row r="564">
      <c r="A564" s="1" t="s">
        <v>4</v>
      </c>
      <c r="B564" s="3">
        <f>IFERROR(__xludf.DUMMYFUNCTION("""COMPUTED_VALUE"""),45693.6875)</f>
        <v>45693.6875</v>
      </c>
      <c r="C564" s="4">
        <f>IFERROR(__xludf.DUMMYFUNCTION("""COMPUTED_VALUE"""),735.8)</f>
        <v>735.8</v>
      </c>
      <c r="D564" s="4">
        <f t="shared" si="3"/>
        <v>0.001360914535</v>
      </c>
      <c r="E564" s="2"/>
    </row>
    <row r="565">
      <c r="A565" s="1" t="s">
        <v>4</v>
      </c>
      <c r="B565" s="3">
        <f>IFERROR(__xludf.DUMMYFUNCTION("""COMPUTED_VALUE"""),45694.6875)</f>
        <v>45694.6875</v>
      </c>
      <c r="C565" s="4">
        <f>IFERROR(__xludf.DUMMYFUNCTION("""COMPUTED_VALUE"""),743.0)</f>
        <v>743</v>
      </c>
      <c r="D565" s="4">
        <f t="shared" si="3"/>
        <v>0.009785267736</v>
      </c>
      <c r="E565" s="2"/>
    </row>
    <row r="566">
      <c r="A566" s="1" t="s">
        <v>4</v>
      </c>
      <c r="B566" s="3">
        <f>IFERROR(__xludf.DUMMYFUNCTION("""COMPUTED_VALUE"""),45695.6875)</f>
        <v>45695.6875</v>
      </c>
      <c r="C566" s="4">
        <f>IFERROR(__xludf.DUMMYFUNCTION("""COMPUTED_VALUE"""),742.2)</f>
        <v>742.2</v>
      </c>
      <c r="D566" s="4">
        <f t="shared" si="3"/>
        <v>-0.001076716016</v>
      </c>
      <c r="E566" s="2"/>
    </row>
    <row r="567">
      <c r="A567" s="1" t="s">
        <v>4</v>
      </c>
      <c r="B567" s="3">
        <f>IFERROR(__xludf.DUMMYFUNCTION("""COMPUTED_VALUE"""),45698.6875)</f>
        <v>45698.6875</v>
      </c>
      <c r="C567" s="4">
        <f>IFERROR(__xludf.DUMMYFUNCTION("""COMPUTED_VALUE"""),742.2)</f>
        <v>742.2</v>
      </c>
      <c r="D567" s="4">
        <f t="shared" si="3"/>
        <v>0</v>
      </c>
      <c r="E567" s="2"/>
    </row>
    <row r="568">
      <c r="A568" s="1" t="s">
        <v>4</v>
      </c>
      <c r="B568" s="3">
        <f>IFERROR(__xludf.DUMMYFUNCTION("""COMPUTED_VALUE"""),45699.6875)</f>
        <v>45699.6875</v>
      </c>
      <c r="C568" s="4">
        <f>IFERROR(__xludf.DUMMYFUNCTION("""COMPUTED_VALUE"""),660.0)</f>
        <v>660</v>
      </c>
      <c r="D568" s="4">
        <f t="shared" si="3"/>
        <v>-0.1107518189</v>
      </c>
      <c r="E568" s="2"/>
    </row>
    <row r="569">
      <c r="A569" s="1" t="s">
        <v>4</v>
      </c>
      <c r="B569" s="3">
        <f>IFERROR(__xludf.DUMMYFUNCTION("""COMPUTED_VALUE"""),45700.6875)</f>
        <v>45700.6875</v>
      </c>
      <c r="C569" s="4">
        <f>IFERROR(__xludf.DUMMYFUNCTION("""COMPUTED_VALUE"""),696.0)</f>
        <v>696</v>
      </c>
      <c r="D569" s="4">
        <f t="shared" si="3"/>
        <v>0.05454545455</v>
      </c>
      <c r="E569" s="2"/>
    </row>
    <row r="570">
      <c r="A570" s="1" t="s">
        <v>4</v>
      </c>
      <c r="B570" s="3">
        <f>IFERROR(__xludf.DUMMYFUNCTION("""COMPUTED_VALUE"""),45701.6875)</f>
        <v>45701.6875</v>
      </c>
      <c r="C570" s="4">
        <f>IFERROR(__xludf.DUMMYFUNCTION("""COMPUTED_VALUE"""),697.2)</f>
        <v>697.2</v>
      </c>
      <c r="D570" s="4">
        <f t="shared" si="3"/>
        <v>0.001724137931</v>
      </c>
      <c r="E570" s="2"/>
    </row>
    <row r="571">
      <c r="A571" s="1" t="s">
        <v>4</v>
      </c>
      <c r="B571" s="3">
        <f>IFERROR(__xludf.DUMMYFUNCTION("""COMPUTED_VALUE"""),45702.6875)</f>
        <v>45702.6875</v>
      </c>
      <c r="C571" s="4">
        <f>IFERROR(__xludf.DUMMYFUNCTION("""COMPUTED_VALUE"""),744.4)</f>
        <v>744.4</v>
      </c>
      <c r="D571" s="4">
        <f t="shared" si="3"/>
        <v>0.0676993689</v>
      </c>
      <c r="E571" s="2"/>
    </row>
    <row r="572">
      <c r="A572" s="1" t="s">
        <v>4</v>
      </c>
      <c r="B572" s="3">
        <f>IFERROR(__xludf.DUMMYFUNCTION("""COMPUTED_VALUE"""),45705.6875)</f>
        <v>45705.6875</v>
      </c>
      <c r="C572" s="4">
        <f>IFERROR(__xludf.DUMMYFUNCTION("""COMPUTED_VALUE"""),764.4)</f>
        <v>764.4</v>
      </c>
      <c r="D572" s="4">
        <f t="shared" si="3"/>
        <v>0.02686727566</v>
      </c>
      <c r="E572" s="2"/>
    </row>
    <row r="573">
      <c r="A573" s="1" t="s">
        <v>4</v>
      </c>
      <c r="B573" s="3">
        <f>IFERROR(__xludf.DUMMYFUNCTION("""COMPUTED_VALUE"""),45706.6875)</f>
        <v>45706.6875</v>
      </c>
      <c r="C573" s="4">
        <f>IFERROR(__xludf.DUMMYFUNCTION("""COMPUTED_VALUE"""),758.4)</f>
        <v>758.4</v>
      </c>
      <c r="D573" s="4">
        <f t="shared" si="3"/>
        <v>-0.007849293564</v>
      </c>
      <c r="E573" s="2"/>
    </row>
    <row r="574">
      <c r="A574" s="1" t="s">
        <v>4</v>
      </c>
      <c r="B574" s="3">
        <f>IFERROR(__xludf.DUMMYFUNCTION("""COMPUTED_VALUE"""),45707.6875)</f>
        <v>45707.6875</v>
      </c>
      <c r="C574" s="4">
        <f>IFERROR(__xludf.DUMMYFUNCTION("""COMPUTED_VALUE"""),750.4)</f>
        <v>750.4</v>
      </c>
      <c r="D574" s="4">
        <f t="shared" si="3"/>
        <v>-0.01054852321</v>
      </c>
      <c r="E574" s="2"/>
    </row>
    <row r="575">
      <c r="A575" s="1" t="s">
        <v>4</v>
      </c>
      <c r="B575" s="3">
        <f>IFERROR(__xludf.DUMMYFUNCTION("""COMPUTED_VALUE"""),45708.6875)</f>
        <v>45708.6875</v>
      </c>
      <c r="C575" s="4">
        <f>IFERROR(__xludf.DUMMYFUNCTION("""COMPUTED_VALUE"""),745.6)</f>
        <v>745.6</v>
      </c>
      <c r="D575" s="4">
        <f t="shared" si="3"/>
        <v>-0.006396588486</v>
      </c>
      <c r="E575" s="2"/>
    </row>
    <row r="576">
      <c r="A576" s="1" t="s">
        <v>4</v>
      </c>
      <c r="B576" s="3">
        <f>IFERROR(__xludf.DUMMYFUNCTION("""COMPUTED_VALUE"""),45709.6875)</f>
        <v>45709.6875</v>
      </c>
      <c r="C576" s="4">
        <f>IFERROR(__xludf.DUMMYFUNCTION("""COMPUTED_VALUE"""),738.0)</f>
        <v>738</v>
      </c>
      <c r="D576" s="4">
        <f t="shared" si="3"/>
        <v>-0.01019313305</v>
      </c>
      <c r="E576" s="2"/>
    </row>
    <row r="577">
      <c r="A577" s="1" t="s">
        <v>4</v>
      </c>
      <c r="B577" s="3">
        <f>IFERROR(__xludf.DUMMYFUNCTION("""COMPUTED_VALUE"""),45712.6875)</f>
        <v>45712.6875</v>
      </c>
      <c r="C577" s="4">
        <f>IFERROR(__xludf.DUMMYFUNCTION("""COMPUTED_VALUE"""),707.0)</f>
        <v>707</v>
      </c>
      <c r="D577" s="4">
        <f t="shared" si="3"/>
        <v>-0.04200542005</v>
      </c>
      <c r="E577" s="2"/>
    </row>
    <row r="578">
      <c r="A578" s="1" t="s">
        <v>4</v>
      </c>
      <c r="B578" s="3">
        <f>IFERROR(__xludf.DUMMYFUNCTION("""COMPUTED_VALUE"""),45713.6875)</f>
        <v>45713.6875</v>
      </c>
      <c r="C578" s="4">
        <f>IFERROR(__xludf.DUMMYFUNCTION("""COMPUTED_VALUE"""),712.0)</f>
        <v>712</v>
      </c>
      <c r="D578" s="4">
        <f t="shared" si="3"/>
        <v>0.007072135785</v>
      </c>
      <c r="E578" s="2"/>
    </row>
    <row r="579">
      <c r="A579" s="1" t="s">
        <v>4</v>
      </c>
      <c r="B579" s="3">
        <f>IFERROR(__xludf.DUMMYFUNCTION("""COMPUTED_VALUE"""),45714.6875)</f>
        <v>45714.6875</v>
      </c>
      <c r="C579" s="4">
        <f>IFERROR(__xludf.DUMMYFUNCTION("""COMPUTED_VALUE"""),741.6)</f>
        <v>741.6</v>
      </c>
      <c r="D579" s="4">
        <f t="shared" si="3"/>
        <v>0.04157303371</v>
      </c>
      <c r="E579" s="2"/>
    </row>
    <row r="580">
      <c r="A580" s="1" t="s">
        <v>4</v>
      </c>
      <c r="B580" s="3">
        <f>IFERROR(__xludf.DUMMYFUNCTION("""COMPUTED_VALUE"""),45715.6875)</f>
        <v>45715.6875</v>
      </c>
      <c r="C580" s="4">
        <f>IFERROR(__xludf.DUMMYFUNCTION("""COMPUTED_VALUE"""),748.8)</f>
        <v>748.8</v>
      </c>
      <c r="D580" s="4">
        <f t="shared" si="3"/>
        <v>0.009708737864</v>
      </c>
      <c r="E580" s="2"/>
    </row>
    <row r="581">
      <c r="A581" s="1" t="s">
        <v>4</v>
      </c>
      <c r="B581" s="3">
        <f>IFERROR(__xludf.DUMMYFUNCTION("""COMPUTED_VALUE"""),45716.6875)</f>
        <v>45716.6875</v>
      </c>
      <c r="C581" s="4">
        <f>IFERROR(__xludf.DUMMYFUNCTION("""COMPUTED_VALUE"""),746.6)</f>
        <v>746.6</v>
      </c>
      <c r="D581" s="4">
        <f t="shared" si="3"/>
        <v>-0.002938034188</v>
      </c>
      <c r="E581" s="2"/>
    </row>
    <row r="582">
      <c r="A582" s="1" t="s">
        <v>4</v>
      </c>
      <c r="B582" s="3">
        <f>IFERROR(__xludf.DUMMYFUNCTION("""COMPUTED_VALUE"""),45719.6875)</f>
        <v>45719.6875</v>
      </c>
      <c r="C582" s="4">
        <f>IFERROR(__xludf.DUMMYFUNCTION("""COMPUTED_VALUE"""),750.0)</f>
        <v>750</v>
      </c>
      <c r="D582" s="4">
        <f t="shared" si="3"/>
        <v>0.004553978034</v>
      </c>
      <c r="E582" s="2"/>
    </row>
    <row r="583">
      <c r="A583" s="1" t="s">
        <v>4</v>
      </c>
      <c r="B583" s="3">
        <f>IFERROR(__xludf.DUMMYFUNCTION("""COMPUTED_VALUE"""),45720.6875)</f>
        <v>45720.6875</v>
      </c>
      <c r="C583" s="4">
        <f>IFERROR(__xludf.DUMMYFUNCTION("""COMPUTED_VALUE"""),728.0)</f>
        <v>728</v>
      </c>
      <c r="D583" s="4">
        <f t="shared" si="3"/>
        <v>-0.02933333333</v>
      </c>
      <c r="E583" s="2"/>
    </row>
    <row r="584">
      <c r="A584" s="1" t="s">
        <v>4</v>
      </c>
      <c r="B584" s="3">
        <f>IFERROR(__xludf.DUMMYFUNCTION("""COMPUTED_VALUE"""),45721.6875)</f>
        <v>45721.6875</v>
      </c>
      <c r="C584" s="4">
        <f>IFERROR(__xludf.DUMMYFUNCTION("""COMPUTED_VALUE"""),742.2)</f>
        <v>742.2</v>
      </c>
      <c r="D584" s="4">
        <f t="shared" si="3"/>
        <v>0.01950549451</v>
      </c>
      <c r="E584" s="2"/>
    </row>
    <row r="585">
      <c r="A585" s="1" t="s">
        <v>4</v>
      </c>
      <c r="B585" s="3">
        <f>IFERROR(__xludf.DUMMYFUNCTION("""COMPUTED_VALUE"""),45722.6875)</f>
        <v>45722.6875</v>
      </c>
      <c r="C585" s="4">
        <f>IFERROR(__xludf.DUMMYFUNCTION("""COMPUTED_VALUE"""),730.0)</f>
        <v>730</v>
      </c>
      <c r="D585" s="4">
        <f t="shared" si="3"/>
        <v>-0.01643761789</v>
      </c>
      <c r="E585" s="2"/>
    </row>
    <row r="586">
      <c r="A586" s="1" t="s">
        <v>4</v>
      </c>
      <c r="B586" s="3">
        <f>IFERROR(__xludf.DUMMYFUNCTION("""COMPUTED_VALUE"""),45723.6875)</f>
        <v>45723.6875</v>
      </c>
      <c r="C586" s="4">
        <f>IFERROR(__xludf.DUMMYFUNCTION("""COMPUTED_VALUE"""),723.6)</f>
        <v>723.6</v>
      </c>
      <c r="D586" s="4">
        <f t="shared" si="3"/>
        <v>-0.008767123288</v>
      </c>
      <c r="E586" s="2"/>
    </row>
    <row r="587">
      <c r="A587" s="1" t="s">
        <v>4</v>
      </c>
      <c r="B587" s="3">
        <f>IFERROR(__xludf.DUMMYFUNCTION("""COMPUTED_VALUE"""),45726.6875)</f>
        <v>45726.6875</v>
      </c>
      <c r="C587" s="4">
        <f>IFERROR(__xludf.DUMMYFUNCTION("""COMPUTED_VALUE"""),661.2)</f>
        <v>661.2</v>
      </c>
      <c r="D587" s="4">
        <f t="shared" si="3"/>
        <v>-0.08623548922</v>
      </c>
      <c r="E587" s="2"/>
    </row>
    <row r="588">
      <c r="A588" s="1" t="s">
        <v>4</v>
      </c>
      <c r="B588" s="3">
        <f>IFERROR(__xludf.DUMMYFUNCTION("""COMPUTED_VALUE"""),45727.6875)</f>
        <v>45727.6875</v>
      </c>
      <c r="C588" s="4">
        <f>IFERROR(__xludf.DUMMYFUNCTION("""COMPUTED_VALUE"""),643.8)</f>
        <v>643.8</v>
      </c>
      <c r="D588" s="4">
        <f t="shared" si="3"/>
        <v>-0.02631578947</v>
      </c>
      <c r="E588" s="2"/>
    </row>
    <row r="589">
      <c r="A589" s="1" t="s">
        <v>4</v>
      </c>
      <c r="B589" s="3">
        <f>IFERROR(__xludf.DUMMYFUNCTION("""COMPUTED_VALUE"""),45728.6875)</f>
        <v>45728.6875</v>
      </c>
      <c r="C589" s="4">
        <f>IFERROR(__xludf.DUMMYFUNCTION("""COMPUTED_VALUE"""),649.0)</f>
        <v>649</v>
      </c>
      <c r="D589" s="4">
        <f t="shared" si="3"/>
        <v>0.00807704256</v>
      </c>
      <c r="E589" s="2"/>
    </row>
    <row r="590">
      <c r="A590" s="1" t="s">
        <v>4</v>
      </c>
      <c r="B590" s="3">
        <f>IFERROR(__xludf.DUMMYFUNCTION("""COMPUTED_VALUE"""),45729.6875)</f>
        <v>45729.6875</v>
      </c>
      <c r="C590" s="4">
        <f>IFERROR(__xludf.DUMMYFUNCTION("""COMPUTED_VALUE"""),629.0)</f>
        <v>629</v>
      </c>
      <c r="D590" s="4">
        <f t="shared" si="3"/>
        <v>-0.03081664099</v>
      </c>
      <c r="E590" s="2"/>
    </row>
    <row r="591">
      <c r="A591" s="1" t="s">
        <v>4</v>
      </c>
      <c r="B591" s="3">
        <f>IFERROR(__xludf.DUMMYFUNCTION("""COMPUTED_VALUE"""),45730.6875)</f>
        <v>45730.6875</v>
      </c>
      <c r="C591" s="4">
        <f>IFERROR(__xludf.DUMMYFUNCTION("""COMPUTED_VALUE"""),637.8)</f>
        <v>637.8</v>
      </c>
      <c r="D591" s="4">
        <f t="shared" si="3"/>
        <v>0.01399046105</v>
      </c>
      <c r="E591" s="2"/>
    </row>
    <row r="592">
      <c r="A592" s="1" t="s">
        <v>4</v>
      </c>
      <c r="B592" s="3">
        <f>IFERROR(__xludf.DUMMYFUNCTION("""COMPUTED_VALUE"""),45733.6875)</f>
        <v>45733.6875</v>
      </c>
      <c r="C592" s="4">
        <f>IFERROR(__xludf.DUMMYFUNCTION("""COMPUTED_VALUE"""),653.8)</f>
        <v>653.8</v>
      </c>
      <c r="D592" s="4">
        <f t="shared" si="3"/>
        <v>0.02508623393</v>
      </c>
      <c r="E592" s="2"/>
    </row>
    <row r="593">
      <c r="A593" s="1" t="s">
        <v>4</v>
      </c>
      <c r="B593" s="3">
        <f>IFERROR(__xludf.DUMMYFUNCTION("""COMPUTED_VALUE"""),45734.6875)</f>
        <v>45734.6875</v>
      </c>
      <c r="C593" s="4">
        <f>IFERROR(__xludf.DUMMYFUNCTION("""COMPUTED_VALUE"""),656.8)</f>
        <v>656.8</v>
      </c>
      <c r="D593" s="4">
        <f t="shared" si="3"/>
        <v>0.004588559192</v>
      </c>
      <c r="E593" s="2"/>
    </row>
    <row r="594">
      <c r="A594" s="1" t="s">
        <v>4</v>
      </c>
      <c r="B594" s="3">
        <f>IFERROR(__xludf.DUMMYFUNCTION("""COMPUTED_VALUE"""),45735.6875)</f>
        <v>45735.6875</v>
      </c>
      <c r="C594" s="4">
        <f>IFERROR(__xludf.DUMMYFUNCTION("""COMPUTED_VALUE"""),653.2)</f>
        <v>653.2</v>
      </c>
      <c r="D594" s="4">
        <f t="shared" si="3"/>
        <v>-0.005481120585</v>
      </c>
      <c r="E594" s="2"/>
    </row>
    <row r="595">
      <c r="A595" s="1" t="s">
        <v>4</v>
      </c>
      <c r="B595" s="3">
        <f>IFERROR(__xludf.DUMMYFUNCTION("""COMPUTED_VALUE"""),45736.6875)</f>
        <v>45736.6875</v>
      </c>
      <c r="C595" s="4">
        <f>IFERROR(__xludf.DUMMYFUNCTION("""COMPUTED_VALUE"""),665.2)</f>
        <v>665.2</v>
      </c>
      <c r="D595" s="4">
        <f t="shared" si="3"/>
        <v>0.01837109614</v>
      </c>
      <c r="E595" s="2"/>
    </row>
    <row r="596">
      <c r="A596" s="1" t="s">
        <v>4</v>
      </c>
      <c r="B596" s="3">
        <f>IFERROR(__xludf.DUMMYFUNCTION("""COMPUTED_VALUE"""),45737.6875)</f>
        <v>45737.6875</v>
      </c>
      <c r="C596" s="4">
        <f>IFERROR(__xludf.DUMMYFUNCTION("""COMPUTED_VALUE"""),653.8)</f>
        <v>653.8</v>
      </c>
      <c r="D596" s="4">
        <f t="shared" si="3"/>
        <v>-0.01713770295</v>
      </c>
      <c r="E596" s="2"/>
    </row>
    <row r="597">
      <c r="A597" s="1" t="s">
        <v>4</v>
      </c>
      <c r="B597" s="3">
        <f>IFERROR(__xludf.DUMMYFUNCTION("""COMPUTED_VALUE"""),45740.6875)</f>
        <v>45740.6875</v>
      </c>
      <c r="C597" s="4">
        <f>IFERROR(__xludf.DUMMYFUNCTION("""COMPUTED_VALUE"""),659.2)</f>
        <v>659.2</v>
      </c>
      <c r="D597" s="4">
        <f t="shared" si="3"/>
        <v>0.008259406546</v>
      </c>
      <c r="E597" s="2"/>
    </row>
    <row r="598">
      <c r="A598" s="1" t="s">
        <v>4</v>
      </c>
      <c r="B598" s="3">
        <f>IFERROR(__xludf.DUMMYFUNCTION("""COMPUTED_VALUE"""),45741.6875)</f>
        <v>45741.6875</v>
      </c>
      <c r="C598" s="4">
        <f>IFERROR(__xludf.DUMMYFUNCTION("""COMPUTED_VALUE"""),654.4)</f>
        <v>654.4</v>
      </c>
      <c r="D598" s="4">
        <f t="shared" si="3"/>
        <v>-0.007281553398</v>
      </c>
      <c r="E598" s="2"/>
    </row>
    <row r="599">
      <c r="A599" s="1" t="s">
        <v>4</v>
      </c>
      <c r="B599" s="3">
        <f>IFERROR(__xludf.DUMMYFUNCTION("""COMPUTED_VALUE"""),45742.6875)</f>
        <v>45742.6875</v>
      </c>
      <c r="C599" s="4">
        <f>IFERROR(__xludf.DUMMYFUNCTION("""COMPUTED_VALUE"""),643.8)</f>
        <v>643.8</v>
      </c>
      <c r="D599" s="4">
        <f t="shared" si="3"/>
        <v>-0.01619804401</v>
      </c>
      <c r="E599" s="2"/>
    </row>
    <row r="600">
      <c r="A600" s="1" t="s">
        <v>4</v>
      </c>
      <c r="B600" s="3">
        <f>IFERROR(__xludf.DUMMYFUNCTION("""COMPUTED_VALUE"""),45743.6875)</f>
        <v>45743.6875</v>
      </c>
      <c r="C600" s="4">
        <f>IFERROR(__xludf.DUMMYFUNCTION("""COMPUTED_VALUE"""),635.0)</f>
        <v>635</v>
      </c>
      <c r="D600" s="4">
        <f t="shared" si="3"/>
        <v>-0.01366884126</v>
      </c>
      <c r="E600" s="2"/>
    </row>
    <row r="601">
      <c r="A601" s="1" t="s">
        <v>4</v>
      </c>
      <c r="B601" s="3">
        <f>IFERROR(__xludf.DUMMYFUNCTION("""COMPUTED_VALUE"""),45744.6875)</f>
        <v>45744.6875</v>
      </c>
      <c r="C601" s="4">
        <f>IFERROR(__xludf.DUMMYFUNCTION("""COMPUTED_VALUE"""),612.4)</f>
        <v>612.4</v>
      </c>
      <c r="D601" s="4">
        <f t="shared" si="3"/>
        <v>-0.03559055118</v>
      </c>
      <c r="E601" s="2"/>
    </row>
    <row r="602">
      <c r="A602" s="1" t="s">
        <v>4</v>
      </c>
      <c r="B602" s="3">
        <f>IFERROR(__xludf.DUMMYFUNCTION("""COMPUTED_VALUE"""),45747.6875)</f>
        <v>45747.6875</v>
      </c>
      <c r="C602" s="4">
        <f>IFERROR(__xludf.DUMMYFUNCTION("""COMPUTED_VALUE"""),577.8)</f>
        <v>577.8</v>
      </c>
      <c r="D602" s="4">
        <f t="shared" si="3"/>
        <v>-0.05649902025</v>
      </c>
      <c r="E602" s="2"/>
    </row>
    <row r="603">
      <c r="A603" s="1" t="s">
        <v>4</v>
      </c>
      <c r="B603" s="3">
        <f>IFERROR(__xludf.DUMMYFUNCTION("""COMPUTED_VALUE"""),45748.6875)</f>
        <v>45748.6875</v>
      </c>
      <c r="C603" s="4">
        <f>IFERROR(__xludf.DUMMYFUNCTION("""COMPUTED_VALUE"""),574.0)</f>
        <v>574</v>
      </c>
      <c r="D603" s="4">
        <f t="shared" si="3"/>
        <v>-0.006576670128</v>
      </c>
      <c r="E603" s="2"/>
    </row>
    <row r="604">
      <c r="A604" s="1" t="s">
        <v>4</v>
      </c>
      <c r="B604" s="3">
        <f>IFERROR(__xludf.DUMMYFUNCTION("""COMPUTED_VALUE"""),45749.6875)</f>
        <v>45749.6875</v>
      </c>
      <c r="C604" s="4">
        <f>IFERROR(__xludf.DUMMYFUNCTION("""COMPUTED_VALUE"""),579.0)</f>
        <v>579</v>
      </c>
      <c r="D604" s="4">
        <f t="shared" si="3"/>
        <v>0.008710801394</v>
      </c>
      <c r="E604" s="2"/>
    </row>
    <row r="605">
      <c r="A605" s="1" t="s">
        <v>4</v>
      </c>
      <c r="B605" s="3">
        <f>IFERROR(__xludf.DUMMYFUNCTION("""COMPUTED_VALUE"""),45750.6875)</f>
        <v>45750.6875</v>
      </c>
      <c r="C605" s="4">
        <f>IFERROR(__xludf.DUMMYFUNCTION("""COMPUTED_VALUE"""),547.4)</f>
        <v>547.4</v>
      </c>
      <c r="D605" s="4">
        <f t="shared" si="3"/>
        <v>-0.05457685665</v>
      </c>
      <c r="E605" s="2"/>
    </row>
    <row r="606">
      <c r="A606" s="1" t="s">
        <v>4</v>
      </c>
      <c r="B606" s="3">
        <f>IFERROR(__xludf.DUMMYFUNCTION("""COMPUTED_VALUE"""),45751.6875)</f>
        <v>45751.6875</v>
      </c>
      <c r="C606" s="4">
        <f>IFERROR(__xludf.DUMMYFUNCTION("""COMPUTED_VALUE"""),501.2)</f>
        <v>501.2</v>
      </c>
      <c r="D606" s="4">
        <f t="shared" si="3"/>
        <v>-0.08439897698</v>
      </c>
      <c r="E606" s="2"/>
    </row>
    <row r="607">
      <c r="A607" s="1" t="s">
        <v>4</v>
      </c>
      <c r="B607" s="3">
        <f>IFERROR(__xludf.DUMMYFUNCTION("""COMPUTED_VALUE"""),45754.6875)</f>
        <v>45754.6875</v>
      </c>
      <c r="C607" s="4">
        <f>IFERROR(__xludf.DUMMYFUNCTION("""COMPUTED_VALUE"""),503.2)</f>
        <v>503.2</v>
      </c>
      <c r="D607" s="4">
        <f t="shared" si="3"/>
        <v>0.003990422985</v>
      </c>
      <c r="E607" s="2"/>
    </row>
    <row r="608">
      <c r="A608" s="1" t="s">
        <v>4</v>
      </c>
      <c r="B608" s="3">
        <f>IFERROR(__xludf.DUMMYFUNCTION("""COMPUTED_VALUE"""),45755.6875)</f>
        <v>45755.6875</v>
      </c>
      <c r="C608" s="4">
        <f>IFERROR(__xludf.DUMMYFUNCTION("""COMPUTED_VALUE"""),518.0)</f>
        <v>518</v>
      </c>
      <c r="D608" s="4">
        <f t="shared" si="3"/>
        <v>0.02941176471</v>
      </c>
      <c r="E608" s="2"/>
    </row>
    <row r="609">
      <c r="A609" s="1" t="s">
        <v>4</v>
      </c>
      <c r="B609" s="3">
        <f>IFERROR(__xludf.DUMMYFUNCTION("""COMPUTED_VALUE"""),45756.6875)</f>
        <v>45756.6875</v>
      </c>
      <c r="C609" s="4">
        <f>IFERROR(__xludf.DUMMYFUNCTION("""COMPUTED_VALUE"""),516.4)</f>
        <v>516.4</v>
      </c>
      <c r="D609" s="4">
        <f t="shared" si="3"/>
        <v>-0.003088803089</v>
      </c>
      <c r="E609" s="2"/>
    </row>
    <row r="610">
      <c r="A610" s="1" t="s">
        <v>4</v>
      </c>
      <c r="B610" s="3">
        <f>IFERROR(__xludf.DUMMYFUNCTION("""COMPUTED_VALUE"""),45757.6875)</f>
        <v>45757.6875</v>
      </c>
      <c r="C610" s="4">
        <f>IFERROR(__xludf.DUMMYFUNCTION("""COMPUTED_VALUE"""),538.6)</f>
        <v>538.6</v>
      </c>
      <c r="D610" s="4">
        <f t="shared" si="3"/>
        <v>0.04298993029</v>
      </c>
      <c r="E610" s="2"/>
    </row>
    <row r="611">
      <c r="A611" s="1" t="s">
        <v>4</v>
      </c>
      <c r="B611" s="3">
        <f>IFERROR(__xludf.DUMMYFUNCTION("""COMPUTED_VALUE"""),45758.6875)</f>
        <v>45758.6875</v>
      </c>
      <c r="C611" s="4">
        <f>IFERROR(__xludf.DUMMYFUNCTION("""COMPUTED_VALUE"""),536.8)</f>
        <v>536.8</v>
      </c>
      <c r="D611" s="4">
        <f t="shared" si="3"/>
        <v>-0.003341997772</v>
      </c>
      <c r="E611" s="2"/>
    </row>
    <row r="612">
      <c r="A612" s="1" t="s">
        <v>4</v>
      </c>
      <c r="B612" s="3">
        <f>IFERROR(__xludf.DUMMYFUNCTION("""COMPUTED_VALUE"""),45761.6875)</f>
        <v>45761.6875</v>
      </c>
      <c r="C612" s="4">
        <f>IFERROR(__xludf.DUMMYFUNCTION("""COMPUTED_VALUE"""),544.0)</f>
        <v>544</v>
      </c>
      <c r="D612" s="4">
        <f t="shared" si="3"/>
        <v>0.01341281669</v>
      </c>
      <c r="E612" s="2"/>
    </row>
    <row r="613">
      <c r="A613" s="1" t="s">
        <v>4</v>
      </c>
      <c r="B613" s="3">
        <f>IFERROR(__xludf.DUMMYFUNCTION("""COMPUTED_VALUE"""),45762.6875)</f>
        <v>45762.6875</v>
      </c>
      <c r="C613" s="4">
        <f>IFERROR(__xludf.DUMMYFUNCTION("""COMPUTED_VALUE"""),557.4)</f>
        <v>557.4</v>
      </c>
      <c r="D613" s="4">
        <f t="shared" si="3"/>
        <v>0.02463235294</v>
      </c>
      <c r="E613" s="2"/>
    </row>
    <row r="614">
      <c r="A614" s="1" t="s">
        <v>4</v>
      </c>
      <c r="B614" s="3">
        <f>IFERROR(__xludf.DUMMYFUNCTION("""COMPUTED_VALUE"""),45763.6875)</f>
        <v>45763.6875</v>
      </c>
      <c r="C614" s="4">
        <f>IFERROR(__xludf.DUMMYFUNCTION("""COMPUTED_VALUE"""),556.2)</f>
        <v>556.2</v>
      </c>
      <c r="D614" s="4">
        <f t="shared" si="3"/>
        <v>-0.00215285253</v>
      </c>
      <c r="E614" s="2"/>
    </row>
    <row r="615">
      <c r="A615" s="1" t="s">
        <v>4</v>
      </c>
      <c r="B615" s="3">
        <f>IFERROR(__xludf.DUMMYFUNCTION("""COMPUTED_VALUE"""),45764.6875)</f>
        <v>45764.6875</v>
      </c>
      <c r="C615" s="4">
        <f>IFERROR(__xludf.DUMMYFUNCTION("""COMPUTED_VALUE"""),569.8)</f>
        <v>569.8</v>
      </c>
      <c r="D615" s="4">
        <f t="shared" si="3"/>
        <v>0.0244516361</v>
      </c>
      <c r="E615" s="2"/>
    </row>
    <row r="616">
      <c r="A616" s="1" t="s">
        <v>4</v>
      </c>
      <c r="B616" s="3">
        <f>IFERROR(__xludf.DUMMYFUNCTION("""COMPUTED_VALUE"""),45769.6875)</f>
        <v>45769.6875</v>
      </c>
      <c r="C616" s="4">
        <f>IFERROR(__xludf.DUMMYFUNCTION("""COMPUTED_VALUE"""),571.4)</f>
        <v>571.4</v>
      </c>
      <c r="D616" s="4">
        <f t="shared" si="3"/>
        <v>0.002808002808</v>
      </c>
      <c r="E616" s="2"/>
    </row>
    <row r="617">
      <c r="A617" s="1" t="s">
        <v>4</v>
      </c>
      <c r="B617" s="3">
        <f>IFERROR(__xludf.DUMMYFUNCTION("""COMPUTED_VALUE"""),45770.6875)</f>
        <v>45770.6875</v>
      </c>
      <c r="C617" s="4">
        <f>IFERROR(__xludf.DUMMYFUNCTION("""COMPUTED_VALUE"""),576.4)</f>
        <v>576.4</v>
      </c>
      <c r="D617" s="4">
        <f t="shared" si="3"/>
        <v>0.008750437522</v>
      </c>
      <c r="E617" s="2"/>
    </row>
    <row r="618">
      <c r="A618" s="1" t="s">
        <v>4</v>
      </c>
      <c r="B618" s="3">
        <f>IFERROR(__xludf.DUMMYFUNCTION("""COMPUTED_VALUE"""),45771.6875)</f>
        <v>45771.6875</v>
      </c>
      <c r="C618" s="4">
        <f>IFERROR(__xludf.DUMMYFUNCTION("""COMPUTED_VALUE"""),569.0)</f>
        <v>569</v>
      </c>
      <c r="D618" s="4">
        <f t="shared" si="3"/>
        <v>-0.01283830673</v>
      </c>
      <c r="E618" s="2"/>
    </row>
    <row r="619">
      <c r="A619" s="1" t="s">
        <v>4</v>
      </c>
      <c r="B619" s="3">
        <f>IFERROR(__xludf.DUMMYFUNCTION("""COMPUTED_VALUE"""),45772.6875)</f>
        <v>45772.6875</v>
      </c>
      <c r="C619" s="4">
        <f>IFERROR(__xludf.DUMMYFUNCTION("""COMPUTED_VALUE"""),588.2)</f>
        <v>588.2</v>
      </c>
      <c r="D619" s="4">
        <f t="shared" si="3"/>
        <v>0.03374340949</v>
      </c>
      <c r="E619" s="2"/>
    </row>
    <row r="620">
      <c r="A620" s="1" t="s">
        <v>4</v>
      </c>
      <c r="B620" s="3">
        <f>IFERROR(__xludf.DUMMYFUNCTION("""COMPUTED_VALUE"""),45775.6875)</f>
        <v>45775.6875</v>
      </c>
      <c r="C620" s="4">
        <f>IFERROR(__xludf.DUMMYFUNCTION("""COMPUTED_VALUE"""),628.2)</f>
        <v>628.2</v>
      </c>
      <c r="D620" s="4">
        <f t="shared" si="3"/>
        <v>0.06800408024</v>
      </c>
      <c r="E620" s="2"/>
    </row>
    <row r="621">
      <c r="A621" s="1" t="s">
        <v>4</v>
      </c>
      <c r="B621" s="3">
        <f>IFERROR(__xludf.DUMMYFUNCTION("""COMPUTED_VALUE"""),45776.6875)</f>
        <v>45776.6875</v>
      </c>
      <c r="C621" s="4">
        <f>IFERROR(__xludf.DUMMYFUNCTION("""COMPUTED_VALUE"""),648.8)</f>
        <v>648.8</v>
      </c>
      <c r="D621" s="4">
        <f t="shared" si="3"/>
        <v>0.03279210443</v>
      </c>
      <c r="E621" s="2"/>
    </row>
    <row r="622">
      <c r="A622" s="1" t="s">
        <v>4</v>
      </c>
      <c r="B622" s="3">
        <f>IFERROR(__xludf.DUMMYFUNCTION("""COMPUTED_VALUE"""),45777.6875)</f>
        <v>45777.6875</v>
      </c>
      <c r="C622" s="4">
        <f>IFERROR(__xludf.DUMMYFUNCTION("""COMPUTED_VALUE"""),637.6)</f>
        <v>637.6</v>
      </c>
      <c r="D622" s="4">
        <f t="shared" si="3"/>
        <v>-0.01726263872</v>
      </c>
      <c r="E622" s="2"/>
    </row>
    <row r="623">
      <c r="A623" s="1" t="s">
        <v>4</v>
      </c>
      <c r="B623" s="3">
        <f>IFERROR(__xludf.DUMMYFUNCTION("""COMPUTED_VALUE"""),45778.6875)</f>
        <v>45778.6875</v>
      </c>
      <c r="C623" s="4">
        <f>IFERROR(__xludf.DUMMYFUNCTION("""COMPUTED_VALUE"""),653.0)</f>
        <v>653</v>
      </c>
      <c r="D623" s="4">
        <f t="shared" si="3"/>
        <v>0.02415307403</v>
      </c>
      <c r="E623" s="2"/>
    </row>
    <row r="624">
      <c r="A624" s="1" t="s">
        <v>4</v>
      </c>
      <c r="B624" s="3">
        <f>IFERROR(__xludf.DUMMYFUNCTION("""COMPUTED_VALUE"""),45779.6875)</f>
        <v>45779.6875</v>
      </c>
      <c r="C624" s="4">
        <f>IFERROR(__xludf.DUMMYFUNCTION("""COMPUTED_VALUE"""),671.8)</f>
        <v>671.8</v>
      </c>
      <c r="D624" s="4">
        <f t="shared" si="3"/>
        <v>0.02879019908</v>
      </c>
      <c r="E624" s="2"/>
    </row>
    <row r="625">
      <c r="A625" s="1" t="s">
        <v>4</v>
      </c>
      <c r="B625" s="3">
        <f>IFERROR(__xludf.DUMMYFUNCTION("""COMPUTED_VALUE"""),45783.6875)</f>
        <v>45783.6875</v>
      </c>
      <c r="C625" s="4">
        <f>IFERROR(__xludf.DUMMYFUNCTION("""COMPUTED_VALUE"""),687.8)</f>
        <v>687.8</v>
      </c>
      <c r="D625" s="4">
        <f t="shared" si="3"/>
        <v>0.02381661209</v>
      </c>
      <c r="E625" s="2"/>
    </row>
    <row r="626">
      <c r="A626" s="1" t="s">
        <v>4</v>
      </c>
      <c r="B626" s="3">
        <f>IFERROR(__xludf.DUMMYFUNCTION("""COMPUTED_VALUE"""),45784.6875)</f>
        <v>45784.6875</v>
      </c>
      <c r="C626" s="4">
        <f>IFERROR(__xludf.DUMMYFUNCTION("""COMPUTED_VALUE"""),703.8)</f>
        <v>703.8</v>
      </c>
      <c r="D626" s="4">
        <f t="shared" si="3"/>
        <v>0.02326257633</v>
      </c>
      <c r="E626" s="2"/>
    </row>
    <row r="627">
      <c r="A627" s="1" t="s">
        <v>4</v>
      </c>
      <c r="B627" s="3">
        <f>IFERROR(__xludf.DUMMYFUNCTION("""COMPUTED_VALUE"""),45785.6875)</f>
        <v>45785.6875</v>
      </c>
      <c r="C627" s="4">
        <f>IFERROR(__xludf.DUMMYFUNCTION("""COMPUTED_VALUE"""),701.2)</f>
        <v>701.2</v>
      </c>
      <c r="D627" s="4">
        <f t="shared" si="3"/>
        <v>-0.003694231316</v>
      </c>
      <c r="E627" s="2"/>
    </row>
    <row r="628">
      <c r="A628" s="1" t="s">
        <v>4</v>
      </c>
      <c r="B628" s="3">
        <f>IFERROR(__xludf.DUMMYFUNCTION("""COMPUTED_VALUE"""),45786.6875)</f>
        <v>45786.6875</v>
      </c>
      <c r="C628" s="4">
        <f>IFERROR(__xludf.DUMMYFUNCTION("""COMPUTED_VALUE"""),700.2)</f>
        <v>700.2</v>
      </c>
      <c r="D628" s="4">
        <f t="shared" si="3"/>
        <v>-0.00142612664</v>
      </c>
      <c r="E628" s="2"/>
    </row>
    <row r="629">
      <c r="A629" s="1" t="s">
        <v>4</v>
      </c>
      <c r="B629" s="3">
        <f>IFERROR(__xludf.DUMMYFUNCTION("""COMPUTED_VALUE"""),45789.6875)</f>
        <v>45789.6875</v>
      </c>
      <c r="C629" s="4">
        <f>IFERROR(__xludf.DUMMYFUNCTION("""COMPUTED_VALUE"""),720.6)</f>
        <v>720.6</v>
      </c>
      <c r="D629" s="4">
        <f t="shared" si="3"/>
        <v>0.02913453299</v>
      </c>
      <c r="E629" s="2"/>
    </row>
    <row r="630">
      <c r="A630" s="1" t="s">
        <v>4</v>
      </c>
      <c r="B630" s="3">
        <f>IFERROR(__xludf.DUMMYFUNCTION("""COMPUTED_VALUE"""),45790.6875)</f>
        <v>45790.6875</v>
      </c>
      <c r="C630" s="4">
        <f>IFERROR(__xludf.DUMMYFUNCTION("""COMPUTED_VALUE"""),764.0)</f>
        <v>764</v>
      </c>
      <c r="D630" s="4">
        <f t="shared" si="3"/>
        <v>0.06022758812</v>
      </c>
      <c r="E630" s="2"/>
    </row>
    <row r="631">
      <c r="A631" s="1" t="s">
        <v>4</v>
      </c>
      <c r="B631" s="3">
        <f>IFERROR(__xludf.DUMMYFUNCTION("""COMPUTED_VALUE"""),45791.6875)</f>
        <v>45791.6875</v>
      </c>
      <c r="C631" s="4">
        <f>IFERROR(__xludf.DUMMYFUNCTION("""COMPUTED_VALUE"""),790.8)</f>
        <v>790.8</v>
      </c>
      <c r="D631" s="4">
        <f t="shared" si="3"/>
        <v>0.03507853403</v>
      </c>
      <c r="E631" s="2"/>
    </row>
    <row r="632">
      <c r="A632" s="1" t="s">
        <v>4</v>
      </c>
      <c r="B632" s="3">
        <f>IFERROR(__xludf.DUMMYFUNCTION("""COMPUTED_VALUE"""),45792.6875)</f>
        <v>45792.6875</v>
      </c>
      <c r="C632" s="4">
        <f>IFERROR(__xludf.DUMMYFUNCTION("""COMPUTED_VALUE"""),777.0)</f>
        <v>777</v>
      </c>
      <c r="D632" s="4">
        <f t="shared" si="3"/>
        <v>-0.01745068285</v>
      </c>
      <c r="E632" s="2"/>
    </row>
    <row r="633">
      <c r="A633" s="1" t="s">
        <v>4</v>
      </c>
      <c r="B633" s="3">
        <f>IFERROR(__xludf.DUMMYFUNCTION("""COMPUTED_VALUE"""),45793.6875)</f>
        <v>45793.6875</v>
      </c>
      <c r="C633" s="4">
        <f>IFERROR(__xludf.DUMMYFUNCTION("""COMPUTED_VALUE"""),768.0)</f>
        <v>768</v>
      </c>
      <c r="D633" s="4">
        <f t="shared" si="3"/>
        <v>-0.01158301158</v>
      </c>
      <c r="E633" s="2"/>
    </row>
    <row r="634">
      <c r="A634" s="1" t="s">
        <v>4</v>
      </c>
      <c r="B634" s="3">
        <f>IFERROR(__xludf.DUMMYFUNCTION("""COMPUTED_VALUE"""),45796.6875)</f>
        <v>45796.6875</v>
      </c>
      <c r="C634" s="4">
        <f>IFERROR(__xludf.DUMMYFUNCTION("""COMPUTED_VALUE"""),770.6)</f>
        <v>770.6</v>
      </c>
      <c r="D634" s="4">
        <f t="shared" si="3"/>
        <v>0.003385416667</v>
      </c>
      <c r="E634" s="2"/>
    </row>
    <row r="635">
      <c r="A635" s="1" t="s">
        <v>4</v>
      </c>
      <c r="B635" s="3">
        <f>IFERROR(__xludf.DUMMYFUNCTION("""COMPUTED_VALUE"""),45797.6875)</f>
        <v>45797.6875</v>
      </c>
      <c r="C635" s="4">
        <f>IFERROR(__xludf.DUMMYFUNCTION("""COMPUTED_VALUE"""),758.8)</f>
        <v>758.8</v>
      </c>
      <c r="D635" s="4">
        <f t="shared" si="3"/>
        <v>-0.01531274332</v>
      </c>
      <c r="E635" s="2"/>
    </row>
    <row r="636">
      <c r="A636" s="1" t="s">
        <v>4</v>
      </c>
      <c r="B636" s="3">
        <f>IFERROR(__xludf.DUMMYFUNCTION("""COMPUTED_VALUE"""),45798.6875)</f>
        <v>45798.6875</v>
      </c>
      <c r="C636" s="4">
        <f>IFERROR(__xludf.DUMMYFUNCTION("""COMPUTED_VALUE"""),750.0)</f>
        <v>750</v>
      </c>
      <c r="D636" s="4">
        <f t="shared" si="3"/>
        <v>-0.01159725883</v>
      </c>
      <c r="E636" s="2"/>
    </row>
    <row r="637">
      <c r="A637" s="1" t="s">
        <v>4</v>
      </c>
      <c r="B637" s="3">
        <f>IFERROR(__xludf.DUMMYFUNCTION("""COMPUTED_VALUE"""),45799.6875)</f>
        <v>45799.6875</v>
      </c>
      <c r="C637" s="4">
        <f>IFERROR(__xludf.DUMMYFUNCTION("""COMPUTED_VALUE"""),741.8)</f>
        <v>741.8</v>
      </c>
      <c r="D637" s="4">
        <f t="shared" si="3"/>
        <v>-0.01093333333</v>
      </c>
      <c r="E637" s="2"/>
    </row>
    <row r="638">
      <c r="A638" s="1" t="s">
        <v>4</v>
      </c>
      <c r="B638" s="3">
        <f>IFERROR(__xludf.DUMMYFUNCTION("""COMPUTED_VALUE"""),45800.6875)</f>
        <v>45800.6875</v>
      </c>
      <c r="C638" s="4">
        <f>IFERROR(__xludf.DUMMYFUNCTION("""COMPUTED_VALUE"""),731.6)</f>
        <v>731.6</v>
      </c>
      <c r="D638" s="4">
        <f t="shared" si="3"/>
        <v>-0.01375033702</v>
      </c>
      <c r="E638" s="2"/>
    </row>
    <row r="639">
      <c r="A639" s="1" t="s">
        <v>4</v>
      </c>
      <c r="B639" s="3">
        <f>IFERROR(__xludf.DUMMYFUNCTION("""COMPUTED_VALUE"""),45804.6875)</f>
        <v>45804.6875</v>
      </c>
      <c r="C639" s="4">
        <f>IFERROR(__xludf.DUMMYFUNCTION("""COMPUTED_VALUE"""),746.6)</f>
        <v>746.6</v>
      </c>
      <c r="D639" s="4">
        <f t="shared" si="3"/>
        <v>0.02050300711</v>
      </c>
      <c r="E639" s="2"/>
    </row>
    <row r="640">
      <c r="A640" s="1" t="s">
        <v>4</v>
      </c>
      <c r="B640" s="3">
        <f>IFERROR(__xludf.DUMMYFUNCTION("""COMPUTED_VALUE"""),45805.6875)</f>
        <v>45805.6875</v>
      </c>
      <c r="C640" s="4">
        <f>IFERROR(__xludf.DUMMYFUNCTION("""COMPUTED_VALUE"""),751.0)</f>
        <v>751</v>
      </c>
      <c r="D640" s="4">
        <f t="shared" si="3"/>
        <v>0.005893383338</v>
      </c>
      <c r="E640" s="2"/>
    </row>
    <row r="641">
      <c r="A641" s="1" t="s">
        <v>4</v>
      </c>
      <c r="B641" s="3">
        <f>IFERROR(__xludf.DUMMYFUNCTION("""COMPUTED_VALUE"""),45806.6875)</f>
        <v>45806.6875</v>
      </c>
      <c r="C641" s="4">
        <f>IFERROR(__xludf.DUMMYFUNCTION("""COMPUTED_VALUE"""),754.2)</f>
        <v>754.2</v>
      </c>
      <c r="D641" s="4">
        <f t="shared" si="3"/>
        <v>0.004260985353</v>
      </c>
      <c r="E641" s="2"/>
    </row>
    <row r="642">
      <c r="A642" s="1" t="s">
        <v>4</v>
      </c>
      <c r="B642" s="3">
        <f>IFERROR(__xludf.DUMMYFUNCTION("""COMPUTED_VALUE"""),45807.6875)</f>
        <v>45807.6875</v>
      </c>
      <c r="C642" s="4">
        <f>IFERROR(__xludf.DUMMYFUNCTION("""COMPUTED_VALUE"""),750.6)</f>
        <v>750.6</v>
      </c>
      <c r="D642" s="4">
        <f t="shared" si="3"/>
        <v>-0.00477326969</v>
      </c>
      <c r="E642" s="2"/>
    </row>
    <row r="643">
      <c r="A643" s="1" t="s">
        <v>4</v>
      </c>
      <c r="B643" s="3">
        <f>IFERROR(__xludf.DUMMYFUNCTION("""COMPUTED_VALUE"""),45810.6875)</f>
        <v>45810.6875</v>
      </c>
      <c r="C643" s="4">
        <f>IFERROR(__xludf.DUMMYFUNCTION("""COMPUTED_VALUE"""),749.4)</f>
        <v>749.4</v>
      </c>
      <c r="D643" s="4">
        <f t="shared" si="3"/>
        <v>-0.001598721023</v>
      </c>
      <c r="E643" s="2"/>
    </row>
    <row r="644">
      <c r="A644" s="1" t="s">
        <v>4</v>
      </c>
      <c r="B644" s="3">
        <f>IFERROR(__xludf.DUMMYFUNCTION("""COMPUTED_VALUE"""),45811.6875)</f>
        <v>45811.6875</v>
      </c>
      <c r="C644" s="4">
        <f>IFERROR(__xludf.DUMMYFUNCTION("""COMPUTED_VALUE"""),742.8)</f>
        <v>742.8</v>
      </c>
      <c r="D644" s="4">
        <f t="shared" si="3"/>
        <v>-0.008807045637</v>
      </c>
      <c r="E644" s="2"/>
    </row>
    <row r="645">
      <c r="A645" s="1" t="s">
        <v>4</v>
      </c>
      <c r="B645" s="3">
        <f>IFERROR(__xludf.DUMMYFUNCTION("""COMPUTED_VALUE"""),45812.6875)</f>
        <v>45812.6875</v>
      </c>
      <c r="C645" s="4">
        <f>IFERROR(__xludf.DUMMYFUNCTION("""COMPUTED_VALUE"""),750.4)</f>
        <v>750.4</v>
      </c>
      <c r="D645" s="4">
        <f t="shared" si="3"/>
        <v>0.01023155627</v>
      </c>
      <c r="E645" s="2"/>
    </row>
    <row r="646">
      <c r="A646" s="1" t="s">
        <v>4</v>
      </c>
      <c r="B646" s="3">
        <f>IFERROR(__xludf.DUMMYFUNCTION("""COMPUTED_VALUE"""),45813.6875)</f>
        <v>45813.6875</v>
      </c>
      <c r="C646" s="4">
        <f>IFERROR(__xludf.DUMMYFUNCTION("""COMPUTED_VALUE"""),741.4)</f>
        <v>741.4</v>
      </c>
      <c r="D646" s="4">
        <f t="shared" si="3"/>
        <v>-0.01199360341</v>
      </c>
      <c r="E646" s="2"/>
    </row>
    <row r="647">
      <c r="A647" s="1" t="s">
        <v>4</v>
      </c>
      <c r="B647" s="3">
        <f>IFERROR(__xludf.DUMMYFUNCTION("""COMPUTED_VALUE"""),45814.6875)</f>
        <v>45814.6875</v>
      </c>
      <c r="C647" s="4">
        <f>IFERROR(__xludf.DUMMYFUNCTION("""COMPUTED_VALUE"""),741.4)</f>
        <v>741.4</v>
      </c>
      <c r="D647" s="4">
        <f t="shared" si="3"/>
        <v>0</v>
      </c>
      <c r="E647" s="2"/>
    </row>
    <row r="648">
      <c r="A648" s="1" t="s">
        <v>4</v>
      </c>
      <c r="B648" s="3">
        <f>IFERROR(__xludf.DUMMYFUNCTION("""COMPUTED_VALUE"""),45817.6875)</f>
        <v>45817.6875</v>
      </c>
      <c r="C648" s="4">
        <f>IFERROR(__xludf.DUMMYFUNCTION("""COMPUTED_VALUE"""),749.8)</f>
        <v>749.8</v>
      </c>
      <c r="D648" s="4">
        <f t="shared" si="3"/>
        <v>0.01132991637</v>
      </c>
      <c r="E648" s="2"/>
    </row>
    <row r="649">
      <c r="A649" s="1" t="s">
        <v>4</v>
      </c>
      <c r="B649" s="3">
        <f>IFERROR(__xludf.DUMMYFUNCTION("""COMPUTED_VALUE"""),45818.6875)</f>
        <v>45818.6875</v>
      </c>
      <c r="C649" s="4">
        <f>IFERROR(__xludf.DUMMYFUNCTION("""COMPUTED_VALUE"""),753.8)</f>
        <v>753.8</v>
      </c>
      <c r="D649" s="4">
        <f t="shared" si="3"/>
        <v>0.005334755935</v>
      </c>
      <c r="E649" s="2"/>
    </row>
    <row r="650">
      <c r="A650" s="1" t="s">
        <v>4</v>
      </c>
      <c r="B650" s="3">
        <f>IFERROR(__xludf.DUMMYFUNCTION("""COMPUTED_VALUE"""),45819.6875)</f>
        <v>45819.6875</v>
      </c>
      <c r="C650" s="4">
        <f>IFERROR(__xludf.DUMMYFUNCTION("""COMPUTED_VALUE"""),748.6)</f>
        <v>748.6</v>
      </c>
      <c r="D650" s="4">
        <f t="shared" si="3"/>
        <v>-0.006898381534</v>
      </c>
      <c r="E650" s="2"/>
    </row>
    <row r="651">
      <c r="A651" s="1" t="s">
        <v>4</v>
      </c>
      <c r="B651" s="3">
        <f>IFERROR(__xludf.DUMMYFUNCTION("""COMPUTED_VALUE"""),45820.6875)</f>
        <v>45820.6875</v>
      </c>
      <c r="C651" s="4">
        <f>IFERROR(__xludf.DUMMYFUNCTION("""COMPUTED_VALUE"""),747.6)</f>
        <v>747.6</v>
      </c>
      <c r="D651" s="4">
        <f t="shared" si="3"/>
        <v>-0.001335826877</v>
      </c>
      <c r="E651" s="2"/>
    </row>
    <row r="652">
      <c r="A652" s="1" t="s">
        <v>4</v>
      </c>
      <c r="B652" s="3">
        <f>IFERROR(__xludf.DUMMYFUNCTION("""COMPUTED_VALUE"""),45821.6875)</f>
        <v>45821.6875</v>
      </c>
      <c r="C652" s="4">
        <f>IFERROR(__xludf.DUMMYFUNCTION("""COMPUTED_VALUE"""),751.4)</f>
        <v>751.4</v>
      </c>
      <c r="D652" s="4">
        <f t="shared" si="3"/>
        <v>0.005082932049</v>
      </c>
      <c r="E652" s="2"/>
    </row>
    <row r="653">
      <c r="A653" s="1" t="s">
        <v>4</v>
      </c>
      <c r="B653" s="3">
        <f>IFERROR(__xludf.DUMMYFUNCTION("""COMPUTED_VALUE"""),45824.6875)</f>
        <v>45824.6875</v>
      </c>
      <c r="C653" s="4">
        <f>IFERROR(__xludf.DUMMYFUNCTION("""COMPUTED_VALUE"""),866.0)</f>
        <v>866</v>
      </c>
      <c r="D653" s="4">
        <f t="shared" si="3"/>
        <v>0.1525153048</v>
      </c>
      <c r="E653" s="2"/>
    </row>
    <row r="654">
      <c r="A654" s="1" t="s">
        <v>4</v>
      </c>
      <c r="B654" s="3">
        <f>IFERROR(__xludf.DUMMYFUNCTION("""COMPUTED_VALUE"""),45825.6875)</f>
        <v>45825.6875</v>
      </c>
      <c r="C654" s="4">
        <f>IFERROR(__xludf.DUMMYFUNCTION("""COMPUTED_VALUE"""),837.6)</f>
        <v>837.6</v>
      </c>
      <c r="D654" s="4">
        <f t="shared" si="3"/>
        <v>-0.03279445727</v>
      </c>
      <c r="E654" s="2"/>
    </row>
    <row r="655">
      <c r="A655" s="1" t="s">
        <v>4</v>
      </c>
      <c r="B655" s="3">
        <f>IFERROR(__xludf.DUMMYFUNCTION("""COMPUTED_VALUE"""),45826.6875)</f>
        <v>45826.6875</v>
      </c>
      <c r="C655" s="4">
        <f>IFERROR(__xludf.DUMMYFUNCTION("""COMPUTED_VALUE"""),847.0)</f>
        <v>847</v>
      </c>
      <c r="D655" s="4">
        <f t="shared" si="3"/>
        <v>0.01122254059</v>
      </c>
      <c r="E655" s="2"/>
    </row>
    <row r="656">
      <c r="A656" s="1" t="s">
        <v>4</v>
      </c>
      <c r="B656" s="3">
        <f>IFERROR(__xludf.DUMMYFUNCTION("""COMPUTED_VALUE"""),45827.6875)</f>
        <v>45827.6875</v>
      </c>
      <c r="C656" s="4">
        <f>IFERROR(__xludf.DUMMYFUNCTION("""COMPUTED_VALUE"""),836.6)</f>
        <v>836.6</v>
      </c>
      <c r="D656" s="4">
        <f t="shared" si="3"/>
        <v>-0.01227863046</v>
      </c>
      <c r="E656" s="2"/>
    </row>
    <row r="657">
      <c r="A657" s="1" t="s">
        <v>4</v>
      </c>
      <c r="B657" s="3">
        <f>IFERROR(__xludf.DUMMYFUNCTION("""COMPUTED_VALUE"""),45828.6875)</f>
        <v>45828.6875</v>
      </c>
      <c r="C657" s="4">
        <f>IFERROR(__xludf.DUMMYFUNCTION("""COMPUTED_VALUE"""),847.2)</f>
        <v>847.2</v>
      </c>
      <c r="D657" s="4">
        <f t="shared" si="3"/>
        <v>0.0126703323</v>
      </c>
      <c r="E657" s="2"/>
    </row>
    <row r="658">
      <c r="A658" s="1" t="s">
        <v>4</v>
      </c>
      <c r="B658" s="3">
        <f>IFERROR(__xludf.DUMMYFUNCTION("""COMPUTED_VALUE"""),45831.6875)</f>
        <v>45831.6875</v>
      </c>
      <c r="C658" s="4">
        <f>IFERROR(__xludf.DUMMYFUNCTION("""COMPUTED_VALUE"""),847.8)</f>
        <v>847.8</v>
      </c>
      <c r="D658" s="4">
        <f t="shared" si="3"/>
        <v>0.0007082152975</v>
      </c>
      <c r="E658" s="2"/>
    </row>
    <row r="659">
      <c r="A659" s="1" t="s">
        <v>4</v>
      </c>
      <c r="B659" s="3">
        <f>IFERROR(__xludf.DUMMYFUNCTION("""COMPUTED_VALUE"""),45832.6875)</f>
        <v>45832.6875</v>
      </c>
      <c r="C659" s="4">
        <f>IFERROR(__xludf.DUMMYFUNCTION("""COMPUTED_VALUE"""),849.2)</f>
        <v>849.2</v>
      </c>
      <c r="D659" s="4">
        <f t="shared" si="3"/>
        <v>0.001651332862</v>
      </c>
      <c r="E659" s="2"/>
    </row>
    <row r="660">
      <c r="A660" s="1" t="s">
        <v>4</v>
      </c>
      <c r="B660" s="3">
        <f>IFERROR(__xludf.DUMMYFUNCTION("""COMPUTED_VALUE"""),45833.6875)</f>
        <v>45833.6875</v>
      </c>
      <c r="C660" s="4">
        <f>IFERROR(__xludf.DUMMYFUNCTION("""COMPUTED_VALUE"""),855.2)</f>
        <v>855.2</v>
      </c>
      <c r="D660" s="4">
        <f t="shared" si="3"/>
        <v>0.007065473387</v>
      </c>
      <c r="E660" s="2"/>
    </row>
    <row r="661">
      <c r="A661" s="1" t="s">
        <v>4</v>
      </c>
      <c r="B661" s="3">
        <f>IFERROR(__xludf.DUMMYFUNCTION("""COMPUTED_VALUE"""),45834.6875)</f>
        <v>45834.6875</v>
      </c>
      <c r="C661" s="4">
        <f>IFERROR(__xludf.DUMMYFUNCTION("""COMPUTED_VALUE"""),900.0)</f>
        <v>900</v>
      </c>
      <c r="D661" s="4">
        <f t="shared" si="3"/>
        <v>0.05238540692</v>
      </c>
      <c r="E661" s="2"/>
    </row>
    <row r="662">
      <c r="A662" s="1" t="s">
        <v>4</v>
      </c>
      <c r="B662" s="3">
        <f>IFERROR(__xludf.DUMMYFUNCTION("""COMPUTED_VALUE"""),45835.6875)</f>
        <v>45835.6875</v>
      </c>
      <c r="C662" s="4">
        <f>IFERROR(__xludf.DUMMYFUNCTION("""COMPUTED_VALUE"""),903.4)</f>
        <v>903.4</v>
      </c>
      <c r="D662" s="4">
        <f t="shared" si="3"/>
        <v>0.003777777778</v>
      </c>
      <c r="E662" s="2"/>
    </row>
    <row r="663">
      <c r="A663" s="1" t="s">
        <v>4</v>
      </c>
      <c r="B663" s="3">
        <f>IFERROR(__xludf.DUMMYFUNCTION("""COMPUTED_VALUE"""),45838.6875)</f>
        <v>45838.6875</v>
      </c>
      <c r="C663" s="4">
        <f>IFERROR(__xludf.DUMMYFUNCTION("""COMPUTED_VALUE"""),901.0)</f>
        <v>901</v>
      </c>
      <c r="D663" s="4">
        <f t="shared" si="3"/>
        <v>-0.002656630507</v>
      </c>
      <c r="E663" s="2"/>
    </row>
    <row r="664">
      <c r="A664" s="1" t="s">
        <v>4</v>
      </c>
      <c r="B664" s="3">
        <f>IFERROR(__xludf.DUMMYFUNCTION("""COMPUTED_VALUE"""),45839.6875)</f>
        <v>45839.6875</v>
      </c>
      <c r="C664" s="4">
        <f>IFERROR(__xludf.DUMMYFUNCTION("""COMPUTED_VALUE"""),917.8)</f>
        <v>917.8</v>
      </c>
      <c r="D664" s="4">
        <f t="shared" si="3"/>
        <v>0.01864594895</v>
      </c>
      <c r="E664" s="2"/>
    </row>
    <row r="665">
      <c r="A665" s="1" t="s">
        <v>4</v>
      </c>
      <c r="B665" s="3">
        <f>IFERROR(__xludf.DUMMYFUNCTION("""COMPUTED_VALUE"""),45840.6875)</f>
        <v>45840.6875</v>
      </c>
      <c r="C665" s="4">
        <f>IFERROR(__xludf.DUMMYFUNCTION("""COMPUTED_VALUE"""),921.0)</f>
        <v>921</v>
      </c>
      <c r="D665" s="4">
        <f t="shared" si="3"/>
        <v>0.003486598387</v>
      </c>
      <c r="E665" s="2"/>
    </row>
    <row r="666">
      <c r="A666" s="1" t="s">
        <v>4</v>
      </c>
      <c r="B666" s="3">
        <f>IFERROR(__xludf.DUMMYFUNCTION("""COMPUTED_VALUE"""),45841.6875)</f>
        <v>45841.6875</v>
      </c>
      <c r="C666" s="4">
        <f>IFERROR(__xludf.DUMMYFUNCTION("""COMPUTED_VALUE"""),916.4)</f>
        <v>916.4</v>
      </c>
      <c r="D666" s="4">
        <f t="shared" si="3"/>
        <v>-0.004994571118</v>
      </c>
      <c r="E666" s="2"/>
    </row>
    <row r="667">
      <c r="A667" s="1" t="s">
        <v>4</v>
      </c>
      <c r="B667" s="3">
        <f>IFERROR(__xludf.DUMMYFUNCTION("""COMPUTED_VALUE"""),45842.6875)</f>
        <v>45842.6875</v>
      </c>
      <c r="C667" s="4">
        <f>IFERROR(__xludf.DUMMYFUNCTION("""COMPUTED_VALUE"""),916.2)</f>
        <v>916.2</v>
      </c>
      <c r="D667" s="4">
        <f t="shared" si="3"/>
        <v>-0.0002182453077</v>
      </c>
      <c r="E667" s="2"/>
    </row>
    <row r="668">
      <c r="A668" s="1" t="s">
        <v>4</v>
      </c>
      <c r="B668" s="3">
        <f>IFERROR(__xludf.DUMMYFUNCTION("""COMPUTED_VALUE"""),45845.6875)</f>
        <v>45845.6875</v>
      </c>
      <c r="C668" s="4">
        <f>IFERROR(__xludf.DUMMYFUNCTION("""COMPUTED_VALUE"""),910.2)</f>
        <v>910.2</v>
      </c>
      <c r="D668" s="4">
        <f t="shared" si="3"/>
        <v>-0.006548788474</v>
      </c>
      <c r="E668" s="2"/>
    </row>
    <row r="669">
      <c r="A669" s="1" t="s">
        <v>4</v>
      </c>
      <c r="B669" s="3">
        <f>IFERROR(__xludf.DUMMYFUNCTION("""COMPUTED_VALUE"""),45846.6875)</f>
        <v>45846.6875</v>
      </c>
      <c r="C669" s="4">
        <f>IFERROR(__xludf.DUMMYFUNCTION("""COMPUTED_VALUE"""),932.2)</f>
        <v>932.2</v>
      </c>
      <c r="D669" s="4">
        <f t="shared" si="3"/>
        <v>0.02417051198</v>
      </c>
      <c r="E669" s="2"/>
    </row>
    <row r="670">
      <c r="A670" s="1" t="s">
        <v>4</v>
      </c>
      <c r="B670" s="3">
        <f>IFERROR(__xludf.DUMMYFUNCTION("""COMPUTED_VALUE"""),45847.6875)</f>
        <v>45847.6875</v>
      </c>
      <c r="C670" s="4">
        <f>IFERROR(__xludf.DUMMYFUNCTION("""COMPUTED_VALUE"""),936.6)</f>
        <v>936.6</v>
      </c>
      <c r="D670" s="4">
        <f t="shared" si="3"/>
        <v>0.004720017164</v>
      </c>
      <c r="E670" s="2"/>
    </row>
    <row r="671">
      <c r="A671" s="1" t="s">
        <v>4</v>
      </c>
      <c r="B671" s="3">
        <f>IFERROR(__xludf.DUMMYFUNCTION("""COMPUTED_VALUE"""),45848.6875)</f>
        <v>45848.6875</v>
      </c>
      <c r="C671" s="4">
        <f>IFERROR(__xludf.DUMMYFUNCTION("""COMPUTED_VALUE"""),940.4)</f>
        <v>940.4</v>
      </c>
      <c r="D671" s="4">
        <f t="shared" si="3"/>
        <v>0.004057228272</v>
      </c>
      <c r="E671" s="2"/>
    </row>
    <row r="672">
      <c r="A672" s="1" t="s">
        <v>4</v>
      </c>
      <c r="B672" s="3">
        <f>IFERROR(__xludf.DUMMYFUNCTION("""COMPUTED_VALUE"""),45849.6875)</f>
        <v>45849.6875</v>
      </c>
      <c r="C672" s="4">
        <f>IFERROR(__xludf.DUMMYFUNCTION("""COMPUTED_VALUE"""),944.6)</f>
        <v>944.6</v>
      </c>
      <c r="D672" s="4">
        <f t="shared" si="3"/>
        <v>0.004466184602</v>
      </c>
      <c r="E672" s="2"/>
    </row>
    <row r="673">
      <c r="A673" s="1" t="s">
        <v>4</v>
      </c>
      <c r="B673" s="3">
        <f>IFERROR(__xludf.DUMMYFUNCTION("""COMPUTED_VALUE"""),45852.6875)</f>
        <v>45852.6875</v>
      </c>
      <c r="C673" s="4">
        <f>IFERROR(__xludf.DUMMYFUNCTION("""COMPUTED_VALUE"""),948.0)</f>
        <v>948</v>
      </c>
      <c r="D673" s="4">
        <f t="shared" si="3"/>
        <v>0.003599407156</v>
      </c>
      <c r="E673" s="2"/>
    </row>
    <row r="674">
      <c r="A674" s="1" t="s">
        <v>4</v>
      </c>
      <c r="B674" s="3">
        <f>IFERROR(__xludf.DUMMYFUNCTION("""COMPUTED_VALUE"""),45853.6875)</f>
        <v>45853.6875</v>
      </c>
      <c r="C674" s="4">
        <f>IFERROR(__xludf.DUMMYFUNCTION("""COMPUTED_VALUE"""),942.6)</f>
        <v>942.6</v>
      </c>
      <c r="D674" s="4">
        <f t="shared" si="3"/>
        <v>-0.005696202532</v>
      </c>
      <c r="E674" s="2"/>
    </row>
    <row r="675">
      <c r="A675" s="1" t="s">
        <v>4</v>
      </c>
      <c r="B675" s="3">
        <f>IFERROR(__xludf.DUMMYFUNCTION("""COMPUTED_VALUE"""),45854.6875)</f>
        <v>45854.6875</v>
      </c>
      <c r="C675" s="4">
        <f>IFERROR(__xludf.DUMMYFUNCTION("""COMPUTED_VALUE"""),942.2)</f>
        <v>942.2</v>
      </c>
      <c r="D675" s="4">
        <f t="shared" si="3"/>
        <v>-0.0004243581583</v>
      </c>
      <c r="E675" s="2"/>
    </row>
    <row r="676">
      <c r="A676" s="1" t="s">
        <v>4</v>
      </c>
      <c r="B676" s="3">
        <f>IFERROR(__xludf.DUMMYFUNCTION("""COMPUTED_VALUE"""),45855.6875)</f>
        <v>45855.6875</v>
      </c>
      <c r="C676" s="4">
        <f>IFERROR(__xludf.DUMMYFUNCTION("""COMPUTED_VALUE"""),955.4)</f>
        <v>955.4</v>
      </c>
      <c r="D676" s="4">
        <f t="shared" si="3"/>
        <v>0.01400976438</v>
      </c>
      <c r="E676" s="2"/>
    </row>
    <row r="677">
      <c r="A677" s="1" t="s">
        <v>4</v>
      </c>
      <c r="B677" s="3">
        <f>IFERROR(__xludf.DUMMYFUNCTION("""COMPUTED_VALUE"""),45856.6875)</f>
        <v>45856.6875</v>
      </c>
      <c r="C677" s="4">
        <f>IFERROR(__xludf.DUMMYFUNCTION("""COMPUTED_VALUE"""),947.2)</f>
        <v>947.2</v>
      </c>
      <c r="D677" s="4">
        <f t="shared" si="3"/>
        <v>-0.008582792548</v>
      </c>
      <c r="E677" s="2"/>
    </row>
    <row r="678">
      <c r="A678" s="1" t="s">
        <v>4</v>
      </c>
      <c r="B678" s="3">
        <f>IFERROR(__xludf.DUMMYFUNCTION("""COMPUTED_VALUE"""),45859.6875)</f>
        <v>45859.6875</v>
      </c>
      <c r="C678" s="4">
        <f>IFERROR(__xludf.DUMMYFUNCTION("""COMPUTED_VALUE"""),959.0)</f>
        <v>959</v>
      </c>
      <c r="D678" s="4">
        <f t="shared" si="3"/>
        <v>0.01245777027</v>
      </c>
      <c r="E678" s="2"/>
    </row>
    <row r="679">
      <c r="A679" s="1" t="s">
        <v>4</v>
      </c>
      <c r="B679" s="3">
        <f>IFERROR(__xludf.DUMMYFUNCTION("""COMPUTED_VALUE"""),45860.6875)</f>
        <v>45860.6875</v>
      </c>
      <c r="C679" s="4">
        <f>IFERROR(__xludf.DUMMYFUNCTION("""COMPUTED_VALUE"""),986.4)</f>
        <v>986.4</v>
      </c>
      <c r="D679" s="4">
        <f t="shared" si="3"/>
        <v>0.02857142857</v>
      </c>
      <c r="E679" s="2"/>
    </row>
    <row r="680">
      <c r="A680" s="1" t="s">
        <v>4</v>
      </c>
      <c r="B680" s="3">
        <f>IFERROR(__xludf.DUMMYFUNCTION("""COMPUTED_VALUE"""),45861.6875)</f>
        <v>45861.6875</v>
      </c>
      <c r="C680" s="4">
        <f>IFERROR(__xludf.DUMMYFUNCTION("""COMPUTED_VALUE"""),991.4)</f>
        <v>991.4</v>
      </c>
      <c r="D680" s="4">
        <f t="shared" si="3"/>
        <v>0.005068937551</v>
      </c>
      <c r="E680" s="2"/>
    </row>
    <row r="681">
      <c r="A681" s="1" t="s">
        <v>4</v>
      </c>
      <c r="B681" s="3">
        <f>IFERROR(__xludf.DUMMYFUNCTION("""COMPUTED_VALUE"""),45862.6875)</f>
        <v>45862.6875</v>
      </c>
      <c r="C681" s="4">
        <f>IFERROR(__xludf.DUMMYFUNCTION("""COMPUTED_VALUE"""),983.2)</f>
        <v>983.2</v>
      </c>
      <c r="D681" s="4">
        <f t="shared" si="3"/>
        <v>-0.008271131733</v>
      </c>
      <c r="E681" s="2"/>
    </row>
    <row r="682">
      <c r="A682" s="1" t="s">
        <v>4</v>
      </c>
      <c r="B682" s="3">
        <f>IFERROR(__xludf.DUMMYFUNCTION("""COMPUTED_VALUE"""),45863.6875)</f>
        <v>45863.6875</v>
      </c>
      <c r="C682" s="4">
        <f>IFERROR(__xludf.DUMMYFUNCTION("""COMPUTED_VALUE"""),998.6)</f>
        <v>998.6</v>
      </c>
      <c r="D682" s="4">
        <f t="shared" si="3"/>
        <v>0.01566314076</v>
      </c>
      <c r="E682" s="2"/>
    </row>
    <row r="683">
      <c r="A683" s="1" t="s">
        <v>4</v>
      </c>
      <c r="B683" s="3">
        <f>IFERROR(__xludf.DUMMYFUNCTION("""COMPUTED_VALUE"""),45866.6875)</f>
        <v>45866.6875</v>
      </c>
      <c r="C683" s="4">
        <f>IFERROR(__xludf.DUMMYFUNCTION("""COMPUTED_VALUE"""),993.2)</f>
        <v>993.2</v>
      </c>
      <c r="D683" s="4">
        <f t="shared" si="3"/>
        <v>-0.005407570599</v>
      </c>
      <c r="E683" s="2"/>
    </row>
    <row r="684">
      <c r="A684" s="1" t="s">
        <v>4</v>
      </c>
      <c r="B684" s="3">
        <f>IFERROR(__xludf.DUMMYFUNCTION("""COMPUTED_VALUE"""),45867.6875)</f>
        <v>45867.6875</v>
      </c>
      <c r="C684" s="4">
        <f>IFERROR(__xludf.DUMMYFUNCTION("""COMPUTED_VALUE"""),1003.5)</f>
        <v>1003.5</v>
      </c>
      <c r="D684" s="4">
        <f t="shared" si="3"/>
        <v>0.01037051953</v>
      </c>
      <c r="E684" s="2"/>
    </row>
    <row r="685">
      <c r="A685" s="1" t="s">
        <v>4</v>
      </c>
      <c r="B685" s="3">
        <f>IFERROR(__xludf.DUMMYFUNCTION("""COMPUTED_VALUE"""),45868.6875)</f>
        <v>45868.6875</v>
      </c>
      <c r="C685" s="4">
        <f>IFERROR(__xludf.DUMMYFUNCTION("""COMPUTED_VALUE"""),1017.0)</f>
        <v>1017</v>
      </c>
      <c r="D685" s="4">
        <f t="shared" si="3"/>
        <v>0.0134529148</v>
      </c>
      <c r="E685" s="2"/>
    </row>
    <row r="686">
      <c r="A686" s="1" t="s">
        <v>4</v>
      </c>
      <c r="B686" s="3">
        <f>IFERROR(__xludf.DUMMYFUNCTION("""COMPUTED_VALUE"""),45869.6875)</f>
        <v>45869.6875</v>
      </c>
      <c r="C686" s="4">
        <f>IFERROR(__xludf.DUMMYFUNCTION("""COMPUTED_VALUE"""),1022.0)</f>
        <v>1022</v>
      </c>
      <c r="D686" s="4">
        <f t="shared" si="3"/>
        <v>0.004916420846</v>
      </c>
      <c r="E686" s="2"/>
    </row>
    <row r="687">
      <c r="A687" s="1" t="s">
        <v>4</v>
      </c>
      <c r="B687" s="3">
        <f>IFERROR(__xludf.DUMMYFUNCTION("""COMPUTED_VALUE"""),45870.6875)</f>
        <v>45870.6875</v>
      </c>
      <c r="C687" s="4">
        <f>IFERROR(__xludf.DUMMYFUNCTION("""COMPUTED_VALUE"""),1005.0)</f>
        <v>1005</v>
      </c>
      <c r="D687" s="4">
        <f t="shared" si="3"/>
        <v>-0.01663405088</v>
      </c>
      <c r="E687" s="2"/>
    </row>
    <row r="688">
      <c r="A688" s="1" t="s">
        <v>4</v>
      </c>
      <c r="B688" s="3">
        <f>IFERROR(__xludf.DUMMYFUNCTION("""COMPUTED_VALUE"""),45873.6875)</f>
        <v>45873.6875</v>
      </c>
      <c r="C688" s="4">
        <f>IFERROR(__xludf.DUMMYFUNCTION("""COMPUTED_VALUE"""),1004.0)</f>
        <v>1004</v>
      </c>
      <c r="D688" s="4">
        <f t="shared" si="3"/>
        <v>-0.0009950248756</v>
      </c>
      <c r="E688" s="2"/>
    </row>
    <row r="689">
      <c r="A689" s="1" t="s">
        <v>4</v>
      </c>
      <c r="B689" s="3">
        <f>IFERROR(__xludf.DUMMYFUNCTION("""COMPUTED_VALUE"""),45874.6875)</f>
        <v>45874.6875</v>
      </c>
      <c r="C689" s="4">
        <f>IFERROR(__xludf.DUMMYFUNCTION("""COMPUTED_VALUE"""),1014.0)</f>
        <v>1014</v>
      </c>
      <c r="D689" s="4">
        <f t="shared" si="3"/>
        <v>0.009960159363</v>
      </c>
      <c r="E689" s="2"/>
    </row>
    <row r="690">
      <c r="A690" s="1" t="s">
        <v>4</v>
      </c>
      <c r="B690" s="3">
        <f>IFERROR(__xludf.DUMMYFUNCTION("""COMPUTED_VALUE"""),45875.6875)</f>
        <v>45875.6875</v>
      </c>
      <c r="C690" s="4">
        <f>IFERROR(__xludf.DUMMYFUNCTION("""COMPUTED_VALUE"""),1008.5)</f>
        <v>1008.5</v>
      </c>
      <c r="D690" s="4">
        <f t="shared" si="3"/>
        <v>-0.005424063116</v>
      </c>
      <c r="E690" s="2"/>
    </row>
    <row r="691">
      <c r="A691" s="1" t="s">
        <v>4</v>
      </c>
      <c r="B691" s="3">
        <f>IFERROR(__xludf.DUMMYFUNCTION("""COMPUTED_VALUE"""),45876.6875)</f>
        <v>45876.6875</v>
      </c>
      <c r="C691" s="4">
        <f>IFERROR(__xludf.DUMMYFUNCTION("""COMPUTED_VALUE"""),996.0)</f>
        <v>996</v>
      </c>
      <c r="D691" s="4">
        <f t="shared" si="3"/>
        <v>-0.01239464551</v>
      </c>
      <c r="E691" s="2"/>
    </row>
    <row r="692">
      <c r="A692" s="1" t="s">
        <v>4</v>
      </c>
      <c r="B692" s="3">
        <f>IFERROR(__xludf.DUMMYFUNCTION("""COMPUTED_VALUE"""),45877.6875)</f>
        <v>45877.6875</v>
      </c>
      <c r="C692" s="4">
        <f>IFERROR(__xludf.DUMMYFUNCTION("""COMPUTED_VALUE"""),938.0)</f>
        <v>938</v>
      </c>
      <c r="D692" s="4">
        <f t="shared" si="3"/>
        <v>-0.05823293173</v>
      </c>
      <c r="E692" s="2"/>
    </row>
    <row r="693">
      <c r="A693" s="1" t="s">
        <v>4</v>
      </c>
      <c r="B693" s="3">
        <f>IFERROR(__xludf.DUMMYFUNCTION("""COMPUTED_VALUE"""),45880.6875)</f>
        <v>45880.6875</v>
      </c>
      <c r="C693" s="4">
        <f>IFERROR(__xludf.DUMMYFUNCTION("""COMPUTED_VALUE"""),936.4)</f>
        <v>936.4</v>
      </c>
      <c r="D693" s="4">
        <f t="shared" si="3"/>
        <v>-0.00170575693</v>
      </c>
      <c r="E693" s="2"/>
    </row>
    <row r="694">
      <c r="A694" s="1" t="s">
        <v>4</v>
      </c>
      <c r="B694" s="3">
        <f>IFERROR(__xludf.DUMMYFUNCTION("""COMPUTED_VALUE"""),45881.6875)</f>
        <v>45881.6875</v>
      </c>
      <c r="C694" s="4">
        <f>IFERROR(__xludf.DUMMYFUNCTION("""COMPUTED_VALUE"""),918.0)</f>
        <v>918</v>
      </c>
      <c r="D694" s="4">
        <f t="shared" si="3"/>
        <v>-0.01964972234</v>
      </c>
      <c r="E694" s="2"/>
    </row>
    <row r="695">
      <c r="A695" s="1" t="s">
        <v>4</v>
      </c>
      <c r="B695" s="3">
        <f>IFERROR(__xludf.DUMMYFUNCTION("""COMPUTED_VALUE"""),45882.6875)</f>
        <v>45882.6875</v>
      </c>
      <c r="C695" s="4">
        <f>IFERROR(__xludf.DUMMYFUNCTION("""COMPUTED_VALUE"""),895.0)</f>
        <v>895</v>
      </c>
      <c r="D695" s="4">
        <f t="shared" si="3"/>
        <v>-0.02505446623</v>
      </c>
      <c r="E695" s="2"/>
    </row>
    <row r="696">
      <c r="A696" s="1" t="s">
        <v>4</v>
      </c>
      <c r="B696" s="3">
        <f>IFERROR(__xludf.DUMMYFUNCTION("""COMPUTED_VALUE"""),45883.6875)</f>
        <v>45883.6875</v>
      </c>
      <c r="C696" s="4">
        <f>IFERROR(__xludf.DUMMYFUNCTION("""COMPUTED_VALUE"""),887.0)</f>
        <v>887</v>
      </c>
      <c r="D696" s="4">
        <f t="shared" si="3"/>
        <v>-0.008938547486</v>
      </c>
      <c r="E696" s="2"/>
    </row>
    <row r="697">
      <c r="A697" s="1" t="s">
        <v>4</v>
      </c>
      <c r="B697" s="3">
        <f>IFERROR(__xludf.DUMMYFUNCTION("""COMPUTED_VALUE"""),45884.6875)</f>
        <v>45884.6875</v>
      </c>
      <c r="C697" s="4">
        <f>IFERROR(__xludf.DUMMYFUNCTION("""COMPUTED_VALUE"""),886.8)</f>
        <v>886.8</v>
      </c>
      <c r="D697" s="4">
        <f t="shared" si="3"/>
        <v>-0.0002254791432</v>
      </c>
      <c r="E697" s="2"/>
    </row>
    <row r="698">
      <c r="A698" s="1" t="s">
        <v>4</v>
      </c>
      <c r="B698" s="3">
        <f>IFERROR(__xludf.DUMMYFUNCTION("""COMPUTED_VALUE"""),45887.6875)</f>
        <v>45887.6875</v>
      </c>
      <c r="C698" s="4">
        <f>IFERROR(__xludf.DUMMYFUNCTION("""COMPUTED_VALUE"""),882.2)</f>
        <v>882.2</v>
      </c>
      <c r="D698" s="4">
        <f t="shared" si="3"/>
        <v>-0.005187189896</v>
      </c>
      <c r="E698" s="2"/>
    </row>
    <row r="699">
      <c r="A699" s="1" t="s">
        <v>4</v>
      </c>
      <c r="B699" s="3">
        <f>IFERROR(__xludf.DUMMYFUNCTION("""COMPUTED_VALUE"""),45888.6875)</f>
        <v>45888.6875</v>
      </c>
      <c r="C699" s="4">
        <f>IFERROR(__xludf.DUMMYFUNCTION("""COMPUTED_VALUE"""),880.4)</f>
        <v>880.4</v>
      </c>
      <c r="D699" s="4">
        <f t="shared" si="3"/>
        <v>-0.002040353661</v>
      </c>
      <c r="E699" s="2"/>
    </row>
    <row r="700">
      <c r="A700" s="1" t="s">
        <v>4</v>
      </c>
      <c r="B700" s="3">
        <f>IFERROR(__xludf.DUMMYFUNCTION("""COMPUTED_VALUE"""),45889.6875)</f>
        <v>45889.6875</v>
      </c>
      <c r="C700" s="4">
        <f>IFERROR(__xludf.DUMMYFUNCTION("""COMPUTED_VALUE"""),887.4)</f>
        <v>887.4</v>
      </c>
      <c r="D700" s="4">
        <f t="shared" si="3"/>
        <v>0.007950931395</v>
      </c>
      <c r="E700" s="2"/>
    </row>
    <row r="701">
      <c r="A701" s="1" t="s">
        <v>4</v>
      </c>
      <c r="B701" s="3">
        <f>IFERROR(__xludf.DUMMYFUNCTION("""COMPUTED_VALUE"""),45890.6875)</f>
        <v>45890.6875</v>
      </c>
      <c r="C701" s="4">
        <f>IFERROR(__xludf.DUMMYFUNCTION("""COMPUTED_VALUE"""),877.2)</f>
        <v>877.2</v>
      </c>
      <c r="D701" s="4">
        <f t="shared" si="3"/>
        <v>-0.01149425287</v>
      </c>
      <c r="E701" s="2"/>
    </row>
    <row r="702">
      <c r="A702" s="1" t="s">
        <v>4</v>
      </c>
      <c r="B702" s="3">
        <f>IFERROR(__xludf.DUMMYFUNCTION("""COMPUTED_VALUE"""),45891.6875)</f>
        <v>45891.6875</v>
      </c>
      <c r="C702" s="4">
        <f>IFERROR(__xludf.DUMMYFUNCTION("""COMPUTED_VALUE"""),882.0)</f>
        <v>882</v>
      </c>
      <c r="D702" s="4">
        <f t="shared" si="3"/>
        <v>0.005471956224</v>
      </c>
      <c r="E702" s="2"/>
    </row>
    <row r="703">
      <c r="A703" s="1" t="s">
        <v>4</v>
      </c>
      <c r="B703" s="3">
        <f>IFERROR(__xludf.DUMMYFUNCTION("""COMPUTED_VALUE"""),45895.6875)</f>
        <v>45895.6875</v>
      </c>
      <c r="C703" s="4">
        <f>IFERROR(__xludf.DUMMYFUNCTION("""COMPUTED_VALUE"""),869.4)</f>
        <v>869.4</v>
      </c>
      <c r="D703" s="4">
        <f t="shared" si="3"/>
        <v>-0.01428571429</v>
      </c>
      <c r="E703" s="2"/>
    </row>
    <row r="704">
      <c r="A704" s="1" t="s">
        <v>4</v>
      </c>
      <c r="B704" s="3">
        <f>IFERROR(__xludf.DUMMYFUNCTION("""COMPUTED_VALUE"""),45896.6875)</f>
        <v>45896.6875</v>
      </c>
      <c r="C704" s="4">
        <f>IFERROR(__xludf.DUMMYFUNCTION("""COMPUTED_VALUE"""),885.4)</f>
        <v>885.4</v>
      </c>
      <c r="D704" s="4">
        <f t="shared" si="3"/>
        <v>0.01840349666</v>
      </c>
      <c r="E704" s="2"/>
    </row>
    <row r="705">
      <c r="A705" s="1" t="s">
        <v>4</v>
      </c>
      <c r="B705" s="3">
        <f>IFERROR(__xludf.DUMMYFUNCTION("""COMPUTED_VALUE"""),45897.6875)</f>
        <v>45897.6875</v>
      </c>
      <c r="C705" s="4">
        <f>IFERROR(__xludf.DUMMYFUNCTION("""COMPUTED_VALUE"""),892.8)</f>
        <v>892.8</v>
      </c>
      <c r="D705" s="4">
        <f t="shared" si="3"/>
        <v>0.008357804382</v>
      </c>
      <c r="E705" s="2"/>
    </row>
    <row r="706">
      <c r="A706" s="1" t="s">
        <v>4</v>
      </c>
      <c r="B706" s="3">
        <f>IFERROR(__xludf.DUMMYFUNCTION("""COMPUTED_VALUE"""),45898.6875)</f>
        <v>45898.6875</v>
      </c>
      <c r="C706" s="4">
        <f>IFERROR(__xludf.DUMMYFUNCTION("""COMPUTED_VALUE"""),878.0)</f>
        <v>878</v>
      </c>
      <c r="D706" s="4">
        <f t="shared" si="3"/>
        <v>-0.01657706093</v>
      </c>
      <c r="E706" s="2"/>
    </row>
    <row r="707">
      <c r="A707" s="1" t="s">
        <v>4</v>
      </c>
      <c r="B707" s="3">
        <f>IFERROR(__xludf.DUMMYFUNCTION("""COMPUTED_VALUE"""),45901.6875)</f>
        <v>45901.6875</v>
      </c>
      <c r="C707" s="4">
        <f>IFERROR(__xludf.DUMMYFUNCTION("""COMPUTED_VALUE"""),871.6)</f>
        <v>871.6</v>
      </c>
      <c r="D707" s="4">
        <f t="shared" si="3"/>
        <v>-0.00728929385</v>
      </c>
      <c r="E707" s="2"/>
    </row>
    <row r="708">
      <c r="A708" s="1" t="s">
        <v>4</v>
      </c>
      <c r="B708" s="3">
        <f>IFERROR(__xludf.DUMMYFUNCTION("""COMPUTED_VALUE"""),45902.6875)</f>
        <v>45902.6875</v>
      </c>
      <c r="C708" s="4">
        <f>IFERROR(__xludf.DUMMYFUNCTION("""COMPUTED_VALUE"""),849.4)</f>
        <v>849.4</v>
      </c>
      <c r="D708" s="4">
        <f t="shared" si="3"/>
        <v>-0.02547039927</v>
      </c>
      <c r="E708" s="2"/>
    </row>
    <row r="709">
      <c r="A709" s="1" t="s">
        <v>4</v>
      </c>
      <c r="B709" s="3">
        <f>IFERROR(__xludf.DUMMYFUNCTION("""COMPUTED_VALUE"""),45903.6875)</f>
        <v>45903.6875</v>
      </c>
      <c r="C709" s="4">
        <f>IFERROR(__xludf.DUMMYFUNCTION("""COMPUTED_VALUE"""),852.4)</f>
        <v>852.4</v>
      </c>
      <c r="D709" s="4">
        <f t="shared" si="3"/>
        <v>0.003531904874</v>
      </c>
      <c r="E709" s="2"/>
    </row>
    <row r="710">
      <c r="A710" s="1" t="s">
        <v>4</v>
      </c>
      <c r="B710" s="3">
        <f>IFERROR(__xludf.DUMMYFUNCTION("""COMPUTED_VALUE"""),45904.6875)</f>
        <v>45904.6875</v>
      </c>
      <c r="C710" s="4">
        <f>IFERROR(__xludf.DUMMYFUNCTION("""COMPUTED_VALUE"""),836.4)</f>
        <v>836.4</v>
      </c>
      <c r="D710" s="4">
        <f t="shared" si="3"/>
        <v>-0.01877053027</v>
      </c>
      <c r="E710" s="2"/>
    </row>
    <row r="711">
      <c r="A711" s="1" t="s">
        <v>4</v>
      </c>
      <c r="B711" s="3">
        <f>IFERROR(__xludf.DUMMYFUNCTION("""COMPUTED_VALUE"""),45905.6875)</f>
        <v>45905.6875</v>
      </c>
      <c r="C711" s="4">
        <f>IFERROR(__xludf.DUMMYFUNCTION("""COMPUTED_VALUE"""),864.4)</f>
        <v>864.4</v>
      </c>
      <c r="D711" s="4">
        <f t="shared" si="3"/>
        <v>0.03347680536</v>
      </c>
      <c r="E711" s="2"/>
    </row>
    <row r="712">
      <c r="A712" s="1" t="s">
        <v>4</v>
      </c>
      <c r="B712" s="3">
        <f>IFERROR(__xludf.DUMMYFUNCTION("""COMPUTED_VALUE"""),45908.6875)</f>
        <v>45908.6875</v>
      </c>
      <c r="C712" s="4">
        <f>IFERROR(__xludf.DUMMYFUNCTION("""COMPUTED_VALUE"""),876.2)</f>
        <v>876.2</v>
      </c>
      <c r="D712" s="4">
        <f t="shared" si="3"/>
        <v>0.01365108746</v>
      </c>
      <c r="E712" s="2"/>
    </row>
    <row r="713">
      <c r="A713" s="1" t="s">
        <v>4</v>
      </c>
      <c r="B713" s="3">
        <f>IFERROR(__xludf.DUMMYFUNCTION("""COMPUTED_VALUE"""),45909.6875)</f>
        <v>45909.6875</v>
      </c>
      <c r="C713" s="4">
        <f>IFERROR(__xludf.DUMMYFUNCTION("""COMPUTED_VALUE"""),873.4)</f>
        <v>873.4</v>
      </c>
      <c r="D713" s="4">
        <f t="shared" si="3"/>
        <v>-0.003195617439</v>
      </c>
      <c r="E713" s="2"/>
    </row>
    <row r="714">
      <c r="A714" s="1" t="s">
        <v>4</v>
      </c>
      <c r="B714" s="3">
        <f>IFERROR(__xludf.DUMMYFUNCTION("""COMPUTED_VALUE"""),45910.6875)</f>
        <v>45910.6875</v>
      </c>
      <c r="C714" s="4">
        <f>IFERROR(__xludf.DUMMYFUNCTION("""COMPUTED_VALUE"""),875.6)</f>
        <v>875.6</v>
      </c>
      <c r="D714" s="4">
        <f t="shared" si="3"/>
        <v>0.002518891688</v>
      </c>
      <c r="E714" s="2"/>
    </row>
    <row r="715">
      <c r="A715" s="1" t="s">
        <v>4</v>
      </c>
      <c r="B715" s="3">
        <f>IFERROR(__xludf.DUMMYFUNCTION("""COMPUTED_VALUE"""),45911.6875)</f>
        <v>45911.6875</v>
      </c>
      <c r="C715" s="4">
        <f>IFERROR(__xludf.DUMMYFUNCTION("""COMPUTED_VALUE"""),860.0)</f>
        <v>860</v>
      </c>
      <c r="D715" s="4">
        <f t="shared" si="3"/>
        <v>-0.0178163545</v>
      </c>
      <c r="E715" s="2"/>
    </row>
    <row r="716">
      <c r="A716" s="1" t="s">
        <v>4</v>
      </c>
      <c r="B716" s="3">
        <f>IFERROR(__xludf.DUMMYFUNCTION("""COMPUTED_VALUE"""),45912.6875)</f>
        <v>45912.6875</v>
      </c>
      <c r="C716" s="4">
        <f>IFERROR(__xludf.DUMMYFUNCTION("""COMPUTED_VALUE"""),853.8)</f>
        <v>853.8</v>
      </c>
      <c r="D716" s="4">
        <f t="shared" si="3"/>
        <v>-0.007209302326</v>
      </c>
      <c r="E716" s="2"/>
    </row>
    <row r="717">
      <c r="A717" s="1" t="s">
        <v>4</v>
      </c>
      <c r="B717" s="3">
        <f>IFERROR(__xludf.DUMMYFUNCTION("""COMPUTED_VALUE"""),45915.6875)</f>
        <v>45915.6875</v>
      </c>
      <c r="C717" s="4">
        <f>IFERROR(__xludf.DUMMYFUNCTION("""COMPUTED_VALUE"""),865.2)</f>
        <v>865.2</v>
      </c>
      <c r="D717" s="4">
        <f t="shared" si="3"/>
        <v>0.01335207309</v>
      </c>
      <c r="E717" s="2"/>
    </row>
    <row r="718">
      <c r="A718" s="1" t="s">
        <v>4</v>
      </c>
      <c r="B718" s="3">
        <f>IFERROR(__xludf.DUMMYFUNCTION("""COMPUTED_VALUE"""),45916.6875)</f>
        <v>45916.6875</v>
      </c>
      <c r="C718" s="4">
        <f>IFERROR(__xludf.DUMMYFUNCTION("""COMPUTED_VALUE"""),862.0)</f>
        <v>862</v>
      </c>
      <c r="D718" s="4">
        <f t="shared" si="3"/>
        <v>-0.003698566805</v>
      </c>
      <c r="E718" s="2"/>
    </row>
    <row r="719">
      <c r="A719" s="1" t="s">
        <v>4</v>
      </c>
      <c r="B719" s="3">
        <f>IFERROR(__xludf.DUMMYFUNCTION("""COMPUTED_VALUE"""),45917.6875)</f>
        <v>45917.6875</v>
      </c>
      <c r="C719" s="4">
        <f>IFERROR(__xludf.DUMMYFUNCTION("""COMPUTED_VALUE"""),869.8)</f>
        <v>869.8</v>
      </c>
      <c r="D719" s="4">
        <f t="shared" si="3"/>
        <v>0.009048723898</v>
      </c>
      <c r="E719" s="2"/>
    </row>
    <row r="720">
      <c r="A720" s="1" t="s">
        <v>4</v>
      </c>
      <c r="B720" s="3">
        <f>IFERROR(__xludf.DUMMYFUNCTION("""COMPUTED_VALUE"""),45918.6875)</f>
        <v>45918.6875</v>
      </c>
      <c r="C720" s="4">
        <f>IFERROR(__xludf.DUMMYFUNCTION("""COMPUTED_VALUE"""),876.4)</f>
        <v>876.4</v>
      </c>
      <c r="D720" s="4">
        <f t="shared" si="3"/>
        <v>0.007587951253</v>
      </c>
      <c r="E720" s="2"/>
    </row>
    <row r="721">
      <c r="A721" s="1" t="s">
        <v>4</v>
      </c>
      <c r="B721" s="3">
        <f>IFERROR(__xludf.DUMMYFUNCTION("""COMPUTED_VALUE"""),45919.6875)</f>
        <v>45919.6875</v>
      </c>
      <c r="C721" s="4">
        <f>IFERROR(__xludf.DUMMYFUNCTION("""COMPUTED_VALUE"""),866.0)</f>
        <v>866</v>
      </c>
      <c r="D721" s="4">
        <f t="shared" si="3"/>
        <v>-0.01186672752</v>
      </c>
      <c r="E721" s="2"/>
    </row>
    <row r="722">
      <c r="A722" s="1" t="s">
        <v>4</v>
      </c>
      <c r="B722" s="3">
        <f>IFERROR(__xludf.DUMMYFUNCTION("""COMPUTED_VALUE"""),45922.6875)</f>
        <v>45922.6875</v>
      </c>
      <c r="C722" s="4">
        <f>IFERROR(__xludf.DUMMYFUNCTION("""COMPUTED_VALUE"""),861.4)</f>
        <v>861.4</v>
      </c>
      <c r="D722" s="4">
        <f t="shared" si="3"/>
        <v>-0.005311778291</v>
      </c>
      <c r="E722" s="2"/>
    </row>
    <row r="723">
      <c r="A723" s="1" t="s">
        <v>4</v>
      </c>
      <c r="B723" s="3">
        <f>IFERROR(__xludf.DUMMYFUNCTION("""COMPUTED_VALUE"""),45923.6875)</f>
        <v>45923.6875</v>
      </c>
      <c r="C723" s="4">
        <f>IFERROR(__xludf.DUMMYFUNCTION("""COMPUTED_VALUE"""),867.6)</f>
        <v>867.6</v>
      </c>
      <c r="D723" s="4">
        <f t="shared" si="3"/>
        <v>0.007197585326</v>
      </c>
      <c r="E723" s="2"/>
    </row>
    <row r="724">
      <c r="A724" s="1" t="s">
        <v>4</v>
      </c>
      <c r="B724" s="3">
        <f>IFERROR(__xludf.DUMMYFUNCTION("""COMPUTED_VALUE"""),45924.6875)</f>
        <v>45924.6875</v>
      </c>
      <c r="C724" s="4">
        <f>IFERROR(__xludf.DUMMYFUNCTION("""COMPUTED_VALUE"""),874.0)</f>
        <v>874</v>
      </c>
      <c r="D724" s="4">
        <f t="shared" si="3"/>
        <v>0.007376671277</v>
      </c>
      <c r="E724" s="2"/>
    </row>
    <row r="725">
      <c r="A725" s="1" t="s">
        <v>4</v>
      </c>
      <c r="B725" s="3">
        <f>IFERROR(__xludf.DUMMYFUNCTION("""COMPUTED_VALUE"""),45925.6875)</f>
        <v>45925.6875</v>
      </c>
      <c r="C725" s="4">
        <f>IFERROR(__xludf.DUMMYFUNCTION("""COMPUTED_VALUE"""),888.4)</f>
        <v>888.4</v>
      </c>
      <c r="D725" s="4">
        <f t="shared" si="3"/>
        <v>0.01647597254</v>
      </c>
      <c r="E725" s="2"/>
    </row>
    <row r="726">
      <c r="A726" s="1" t="s">
        <v>4</v>
      </c>
      <c r="B726" s="3">
        <f>IFERROR(__xludf.DUMMYFUNCTION("""COMPUTED_VALUE"""),45926.6875)</f>
        <v>45926.6875</v>
      </c>
      <c r="C726" s="4">
        <f>IFERROR(__xludf.DUMMYFUNCTION("""COMPUTED_VALUE"""),901.4)</f>
        <v>901.4</v>
      </c>
      <c r="D726" s="4">
        <f t="shared" si="3"/>
        <v>0.01463304818</v>
      </c>
      <c r="E726" s="2"/>
    </row>
    <row r="727">
      <c r="A727" s="1" t="s">
        <v>4</v>
      </c>
      <c r="B727" s="3">
        <f>IFERROR(__xludf.DUMMYFUNCTION("""COMPUTED_VALUE"""),45929.6875)</f>
        <v>45929.6875</v>
      </c>
      <c r="C727" s="4">
        <f>IFERROR(__xludf.DUMMYFUNCTION("""COMPUTED_VALUE"""),905.8)</f>
        <v>905.8</v>
      </c>
      <c r="D727" s="4">
        <f t="shared" si="3"/>
        <v>0.004881295762</v>
      </c>
      <c r="E727" s="2"/>
    </row>
    <row r="728">
      <c r="A728" s="1" t="s">
        <v>4</v>
      </c>
      <c r="B728" s="3">
        <f>IFERROR(__xludf.DUMMYFUNCTION("""COMPUTED_VALUE"""),45930.6875)</f>
        <v>45930.6875</v>
      </c>
      <c r="C728" s="4">
        <f>IFERROR(__xludf.DUMMYFUNCTION("""COMPUTED_VALUE"""),873.8)</f>
        <v>873.8</v>
      </c>
      <c r="D728" s="4">
        <f t="shared" si="3"/>
        <v>-0.03532788695</v>
      </c>
      <c r="E728" s="2"/>
    </row>
    <row r="729">
      <c r="A729" s="1" t="s">
        <v>4</v>
      </c>
      <c r="B729" s="3">
        <f>IFERROR(__xludf.DUMMYFUNCTION("""COMPUTED_VALUE"""),45931.6875)</f>
        <v>45931.6875</v>
      </c>
      <c r="C729" s="4">
        <f>IFERROR(__xludf.DUMMYFUNCTION("""COMPUTED_VALUE"""),872.4)</f>
        <v>872.4</v>
      </c>
      <c r="D729" s="4">
        <f t="shared" si="3"/>
        <v>-0.001602197299</v>
      </c>
      <c r="E729" s="2"/>
    </row>
    <row r="730">
      <c r="A730" s="1" t="s">
        <v>4</v>
      </c>
      <c r="B730" s="3">
        <f>IFERROR(__xludf.DUMMYFUNCTION("""COMPUTED_VALUE"""),45932.6875)</f>
        <v>45932.6875</v>
      </c>
      <c r="C730" s="4">
        <f>IFERROR(__xludf.DUMMYFUNCTION("""COMPUTED_VALUE"""),873.8)</f>
        <v>873.8</v>
      </c>
      <c r="D730" s="4">
        <f t="shared" si="3"/>
        <v>0.001604768455</v>
      </c>
      <c r="E730" s="2"/>
    </row>
    <row r="731">
      <c r="A731" s="1" t="s">
        <v>4</v>
      </c>
      <c r="B731" s="3">
        <f>IFERROR(__xludf.DUMMYFUNCTION("""COMPUTED_VALUE"""),45933.6875)</f>
        <v>45933.6875</v>
      </c>
      <c r="C731" s="4">
        <f>IFERROR(__xludf.DUMMYFUNCTION("""COMPUTED_VALUE"""),871.4)</f>
        <v>871.4</v>
      </c>
      <c r="D731" s="4">
        <f t="shared" si="3"/>
        <v>-0.002746623941</v>
      </c>
      <c r="E731" s="2"/>
    </row>
    <row r="732">
      <c r="A732" s="1" t="s">
        <v>4</v>
      </c>
      <c r="B732" s="3">
        <f>IFERROR(__xludf.DUMMYFUNCTION("""COMPUTED_VALUE"""),45936.6875)</f>
        <v>45936.6875</v>
      </c>
      <c r="C732" s="4">
        <f>IFERROR(__xludf.DUMMYFUNCTION("""COMPUTED_VALUE"""),868.8)</f>
        <v>868.8</v>
      </c>
      <c r="D732" s="4">
        <f t="shared" si="3"/>
        <v>-0.002983704384</v>
      </c>
      <c r="E732" s="2"/>
    </row>
    <row r="733">
      <c r="A733" s="1" t="s">
        <v>4</v>
      </c>
      <c r="B733" s="3">
        <f>IFERROR(__xludf.DUMMYFUNCTION("""COMPUTED_VALUE"""),45937.6875)</f>
        <v>45937.6875</v>
      </c>
      <c r="C733" s="4">
        <f>IFERROR(__xludf.DUMMYFUNCTION("""COMPUTED_VALUE"""),812.0)</f>
        <v>812</v>
      </c>
      <c r="D733" s="4">
        <f t="shared" si="3"/>
        <v>-0.06537753223</v>
      </c>
      <c r="E733" s="2"/>
    </row>
    <row r="734">
      <c r="A734" s="1" t="s">
        <v>4</v>
      </c>
      <c r="B734" s="3">
        <f>IFERROR(__xludf.DUMMYFUNCTION("""COMPUTED_VALUE"""),45938.6875)</f>
        <v>45938.6875</v>
      </c>
      <c r="C734" s="4">
        <f>IFERROR(__xludf.DUMMYFUNCTION("""COMPUTED_VALUE"""),826.4)</f>
        <v>826.4</v>
      </c>
      <c r="D734" s="4">
        <f t="shared" si="3"/>
        <v>0.01773399015</v>
      </c>
      <c r="E734" s="2"/>
    </row>
    <row r="735">
      <c r="A735" s="1" t="s">
        <v>4</v>
      </c>
      <c r="B735" s="3">
        <f>IFERROR(__xludf.DUMMYFUNCTION("""COMPUTED_VALUE"""),45939.6875)</f>
        <v>45939.6875</v>
      </c>
      <c r="C735" s="4">
        <f>IFERROR(__xludf.DUMMYFUNCTION("""COMPUTED_VALUE"""),838.2)</f>
        <v>838.2</v>
      </c>
      <c r="D735" s="4">
        <f t="shared" si="3"/>
        <v>0.01427879961</v>
      </c>
      <c r="E735" s="2"/>
    </row>
    <row r="736">
      <c r="A736" s="1" t="s">
        <v>4</v>
      </c>
      <c r="B736" s="3">
        <f>IFERROR(__xludf.DUMMYFUNCTION("""COMPUTED_VALUE"""),45940.6875)</f>
        <v>45940.6875</v>
      </c>
      <c r="C736" s="4">
        <f>IFERROR(__xludf.DUMMYFUNCTION("""COMPUTED_VALUE"""),805.0)</f>
        <v>805</v>
      </c>
      <c r="D736" s="4">
        <f t="shared" si="3"/>
        <v>-0.03960868528</v>
      </c>
      <c r="E736" s="2"/>
    </row>
    <row r="737">
      <c r="A737" s="1" t="s">
        <v>4</v>
      </c>
      <c r="B737" s="3">
        <f>IFERROR(__xludf.DUMMYFUNCTION("""COMPUTED_VALUE"""),45943.6875)</f>
        <v>45943.6875</v>
      </c>
      <c r="C737" s="4">
        <f>IFERROR(__xludf.DUMMYFUNCTION("""COMPUTED_VALUE"""),825.0)</f>
        <v>825</v>
      </c>
      <c r="D737" s="4">
        <f t="shared" si="3"/>
        <v>0.0248447205</v>
      </c>
      <c r="E737" s="2"/>
    </row>
    <row r="738">
      <c r="A738" s="1" t="s">
        <v>4</v>
      </c>
      <c r="B738" s="3">
        <f>IFERROR(__xludf.DUMMYFUNCTION("""COMPUTED_VALUE"""),45944.6875)</f>
        <v>45944.6875</v>
      </c>
      <c r="C738" s="4">
        <f>IFERROR(__xludf.DUMMYFUNCTION("""COMPUTED_VALUE"""),839.4)</f>
        <v>839.4</v>
      </c>
      <c r="D738" s="4">
        <f t="shared" si="3"/>
        <v>0.01745454545</v>
      </c>
      <c r="E738" s="2"/>
    </row>
    <row r="739">
      <c r="A739" s="1" t="s">
        <v>4</v>
      </c>
      <c r="B739" s="3">
        <f>IFERROR(__xludf.DUMMYFUNCTION("""COMPUTED_VALUE"""),45945.6875)</f>
        <v>45945.6875</v>
      </c>
      <c r="C739" s="4">
        <f>IFERROR(__xludf.DUMMYFUNCTION("""COMPUTED_VALUE"""),819.0)</f>
        <v>819</v>
      </c>
      <c r="D739" s="4">
        <f t="shared" si="3"/>
        <v>-0.02430307362</v>
      </c>
      <c r="E739" s="2"/>
    </row>
    <row r="740">
      <c r="A740" s="1" t="s">
        <v>4</v>
      </c>
      <c r="B740" s="3">
        <f>IFERROR(__xludf.DUMMYFUNCTION("""COMPUTED_VALUE"""),45946.6875)</f>
        <v>45946.6875</v>
      </c>
      <c r="C740" s="4">
        <f>IFERROR(__xludf.DUMMYFUNCTION("""COMPUTED_VALUE"""),836.0)</f>
        <v>836</v>
      </c>
      <c r="D740" s="4">
        <f t="shared" si="3"/>
        <v>0.02075702076</v>
      </c>
      <c r="E740" s="2"/>
    </row>
    <row r="741">
      <c r="A741" s="1" t="s">
        <v>4</v>
      </c>
      <c r="B741" s="3">
        <f>IFERROR(__xludf.DUMMYFUNCTION("""COMPUTED_VALUE"""),45947.6875)</f>
        <v>45947.6875</v>
      </c>
      <c r="C741" s="4">
        <f>IFERROR(__xludf.DUMMYFUNCTION("""COMPUTED_VALUE"""),818.6)</f>
        <v>818.6</v>
      </c>
      <c r="D741" s="4">
        <f t="shared" si="3"/>
        <v>-0.02081339713</v>
      </c>
      <c r="E741" s="2"/>
    </row>
    <row r="742">
      <c r="A742" s="1" t="s">
        <v>4</v>
      </c>
      <c r="B742" s="3">
        <f>IFERROR(__xludf.DUMMYFUNCTION("""COMPUTED_VALUE"""),45950.6875)</f>
        <v>45950.6875</v>
      </c>
      <c r="C742" s="4">
        <f>IFERROR(__xludf.DUMMYFUNCTION("""COMPUTED_VALUE"""),812.0)</f>
        <v>812</v>
      </c>
      <c r="D742" s="4">
        <f t="shared" si="3"/>
        <v>-0.00806254581</v>
      </c>
      <c r="E742" s="2"/>
    </row>
    <row r="743">
      <c r="A743" s="1" t="s">
        <v>4</v>
      </c>
      <c r="B743" s="3">
        <f>IFERROR(__xludf.DUMMYFUNCTION("""COMPUTED_VALUE"""),45951.6875)</f>
        <v>45951.6875</v>
      </c>
      <c r="C743" s="4">
        <f>IFERROR(__xludf.DUMMYFUNCTION("""COMPUTED_VALUE"""),786.2)</f>
        <v>786.2</v>
      </c>
      <c r="D743" s="4">
        <f t="shared" si="3"/>
        <v>-0.03177339901</v>
      </c>
      <c r="E743" s="2"/>
    </row>
    <row r="744">
      <c r="A744" s="1" t="s">
        <v>4</v>
      </c>
      <c r="B744" s="3">
        <f>IFERROR(__xludf.DUMMYFUNCTION("""COMPUTED_VALUE"""),45952.6875)</f>
        <v>45952.6875</v>
      </c>
      <c r="C744" s="4">
        <f>IFERROR(__xludf.DUMMYFUNCTION("""COMPUTED_VALUE"""),824.0)</f>
        <v>824</v>
      </c>
      <c r="D744" s="4">
        <f t="shared" si="3"/>
        <v>0.04807936912</v>
      </c>
      <c r="E744" s="2"/>
    </row>
    <row r="745">
      <c r="A745" s="1" t="s">
        <v>4</v>
      </c>
      <c r="B745" s="3">
        <f>IFERROR(__xludf.DUMMYFUNCTION("""COMPUTED_VALUE"""),45953.6875)</f>
        <v>45953.6875</v>
      </c>
      <c r="C745" s="4">
        <f>IFERROR(__xludf.DUMMYFUNCTION("""COMPUTED_VALUE"""),811.4)</f>
        <v>811.4</v>
      </c>
      <c r="D745" s="4">
        <f t="shared" si="3"/>
        <v>-0.01529126214</v>
      </c>
      <c r="E745" s="2"/>
    </row>
    <row r="746">
      <c r="A746" s="1" t="s">
        <v>4</v>
      </c>
      <c r="B746" s="3">
        <f>IFERROR(__xludf.DUMMYFUNCTION("""COMPUTED_VALUE"""),45954.6875)</f>
        <v>45954.6875</v>
      </c>
      <c r="C746" s="4">
        <f>IFERROR(__xludf.DUMMYFUNCTION("""COMPUTED_VALUE"""),824.6)</f>
        <v>824.6</v>
      </c>
      <c r="D746" s="4">
        <f t="shared" si="3"/>
        <v>0.01626817846</v>
      </c>
      <c r="E746" s="2"/>
    </row>
    <row r="747">
      <c r="A747" s="1" t="s">
        <v>4</v>
      </c>
      <c r="B747" s="3">
        <f>IFERROR(__xludf.DUMMYFUNCTION("""COMPUTED_VALUE"""),45957.6875)</f>
        <v>45957.6875</v>
      </c>
      <c r="C747" s="4">
        <f>IFERROR(__xludf.DUMMYFUNCTION("""COMPUTED_VALUE"""),807.0)</f>
        <v>807</v>
      </c>
      <c r="D747" s="4">
        <f t="shared" si="3"/>
        <v>-0.02134368179</v>
      </c>
      <c r="E747" s="2"/>
    </row>
    <row r="748">
      <c r="A748" s="1" t="s">
        <v>4</v>
      </c>
      <c r="B748" s="3">
        <f>IFERROR(__xludf.DUMMYFUNCTION("""COMPUTED_VALUE"""),45958.6875)</f>
        <v>45958.6875</v>
      </c>
      <c r="C748" s="4">
        <f>IFERROR(__xludf.DUMMYFUNCTION("""COMPUTED_VALUE"""),807.6)</f>
        <v>807.6</v>
      </c>
      <c r="D748" s="4">
        <f t="shared" si="3"/>
        <v>0.0007434944238</v>
      </c>
      <c r="E748" s="2"/>
    </row>
    <row r="749">
      <c r="A749" s="1" t="s">
        <v>4</v>
      </c>
      <c r="B749" s="3">
        <f>IFERROR(__xludf.DUMMYFUNCTION("""COMPUTED_VALUE"""),45959.6875)</f>
        <v>45959.6875</v>
      </c>
      <c r="C749" s="4">
        <f>IFERROR(__xludf.DUMMYFUNCTION("""COMPUTED_VALUE"""),808.8)</f>
        <v>808.8</v>
      </c>
      <c r="D749" s="4">
        <f t="shared" si="3"/>
        <v>0.001485884101</v>
      </c>
      <c r="E749" s="2"/>
    </row>
    <row r="750">
      <c r="A750" s="1" t="s">
        <v>4</v>
      </c>
      <c r="B750" s="3">
        <f>IFERROR(__xludf.DUMMYFUNCTION("""COMPUTED_VALUE"""),45960.6875)</f>
        <v>45960.6875</v>
      </c>
      <c r="C750" s="4">
        <f>IFERROR(__xludf.DUMMYFUNCTION("""COMPUTED_VALUE"""),797.0)</f>
        <v>797</v>
      </c>
      <c r="D750" s="4">
        <f t="shared" si="3"/>
        <v>-0.01458951533</v>
      </c>
      <c r="E750" s="2"/>
    </row>
    <row r="751">
      <c r="A751" s="1" t="s">
        <v>4</v>
      </c>
      <c r="B751" s="3">
        <f>IFERROR(__xludf.DUMMYFUNCTION("""COMPUTED_VALUE"""),45961.6875)</f>
        <v>45961.6875</v>
      </c>
      <c r="C751" s="4">
        <f>IFERROR(__xludf.DUMMYFUNCTION("""COMPUTED_VALUE"""),792.4)</f>
        <v>792.4</v>
      </c>
      <c r="D751" s="4">
        <f t="shared" si="3"/>
        <v>-0.005771643664</v>
      </c>
      <c r="E751" s="2"/>
    </row>
    <row r="752">
      <c r="A752" s="1" t="s">
        <v>4</v>
      </c>
      <c r="B752" s="3">
        <f>IFERROR(__xludf.DUMMYFUNCTION("""COMPUTED_VALUE"""),45964.6875)</f>
        <v>45964.6875</v>
      </c>
      <c r="C752" s="4">
        <f>IFERROR(__xludf.DUMMYFUNCTION("""COMPUTED_VALUE"""),789.0)</f>
        <v>789</v>
      </c>
      <c r="D752" s="4">
        <f t="shared" si="3"/>
        <v>-0.004290762241</v>
      </c>
      <c r="E752" s="2"/>
    </row>
    <row r="753">
      <c r="A753" s="1" t="s">
        <v>4</v>
      </c>
      <c r="B753" s="3">
        <f>IFERROR(__xludf.DUMMYFUNCTION("""COMPUTED_VALUE"""),45965.6875)</f>
        <v>45965.6875</v>
      </c>
      <c r="C753" s="4">
        <f>IFERROR(__xludf.DUMMYFUNCTION("""COMPUTED_VALUE"""),761.8)</f>
        <v>761.8</v>
      </c>
      <c r="D753" s="4">
        <f t="shared" si="3"/>
        <v>-0.03447401774</v>
      </c>
      <c r="E753" s="2"/>
    </row>
    <row r="754">
      <c r="A754" s="1" t="s">
        <v>4</v>
      </c>
      <c r="B754" s="3">
        <f>IFERROR(__xludf.DUMMYFUNCTION("""COMPUTED_VALUE"""),45966.6875)</f>
        <v>45966.6875</v>
      </c>
      <c r="C754" s="4">
        <f>IFERROR(__xludf.DUMMYFUNCTION("""COMPUTED_VALUE"""),753.4)</f>
        <v>753.4</v>
      </c>
      <c r="D754" s="4">
        <f t="shared" si="3"/>
        <v>-0.01102651615</v>
      </c>
      <c r="E754" s="2"/>
    </row>
    <row r="755">
      <c r="A755" s="1" t="s">
        <v>4</v>
      </c>
      <c r="B755" s="3">
        <f>IFERROR(__xludf.DUMMYFUNCTION("""COMPUTED_VALUE"""),45967.6875)</f>
        <v>45967.6875</v>
      </c>
      <c r="C755" s="4">
        <f>IFERROR(__xludf.DUMMYFUNCTION("""COMPUTED_VALUE"""),741.4)</f>
        <v>741.4</v>
      </c>
      <c r="D755" s="4">
        <f t="shared" si="3"/>
        <v>-0.015927794</v>
      </c>
      <c r="E755" s="2"/>
    </row>
    <row r="756">
      <c r="A756" s="1" t="s">
        <v>4</v>
      </c>
      <c r="B756" s="3">
        <f>IFERROR(__xludf.DUMMYFUNCTION("""COMPUTED_VALUE"""),45968.6875)</f>
        <v>45968.6875</v>
      </c>
      <c r="C756" s="4">
        <f>IFERROR(__xludf.DUMMYFUNCTION("""COMPUTED_VALUE"""),731.2)</f>
        <v>731.2</v>
      </c>
      <c r="D756" s="4">
        <f t="shared" si="3"/>
        <v>-0.0137577556</v>
      </c>
      <c r="E756" s="2"/>
    </row>
    <row r="757">
      <c r="A757" s="1" t="s">
        <v>4</v>
      </c>
      <c r="B757" s="3">
        <f>IFERROR(__xludf.DUMMYFUNCTION("""COMPUTED_VALUE"""),45971.6875)</f>
        <v>45971.6875</v>
      </c>
      <c r="C757" s="4">
        <f>IFERROR(__xludf.DUMMYFUNCTION("""COMPUTED_VALUE"""),753.0)</f>
        <v>753</v>
      </c>
      <c r="D757" s="4">
        <f t="shared" si="3"/>
        <v>0.02981400438</v>
      </c>
      <c r="E757" s="2"/>
    </row>
    <row r="758">
      <c r="A758" s="1" t="s">
        <v>4</v>
      </c>
      <c r="B758" s="3">
        <f>IFERROR(__xludf.DUMMYFUNCTION("""COMPUTED_VALUE"""),45972.6875)</f>
        <v>45972.6875</v>
      </c>
      <c r="C758" s="4">
        <f>IFERROR(__xludf.DUMMYFUNCTION("""COMPUTED_VALUE"""),747.2)</f>
        <v>747.2</v>
      </c>
      <c r="D758" s="4">
        <f t="shared" si="3"/>
        <v>-0.00770252324</v>
      </c>
      <c r="E758" s="2"/>
    </row>
    <row r="759">
      <c r="A759" s="1" t="s">
        <v>4</v>
      </c>
      <c r="B759" s="3">
        <f>IFERROR(__xludf.DUMMYFUNCTION("""COMPUTED_VALUE"""),45973.6875)</f>
        <v>45973.6875</v>
      </c>
      <c r="C759" s="4">
        <f>IFERROR(__xludf.DUMMYFUNCTION("""COMPUTED_VALUE"""),751.4)</f>
        <v>751.4</v>
      </c>
      <c r="D759" s="4">
        <f t="shared" si="3"/>
        <v>0.005620985011</v>
      </c>
      <c r="E759" s="2"/>
    </row>
    <row r="760">
      <c r="A760" s="1" t="s">
        <v>4</v>
      </c>
      <c r="B760" s="3">
        <f>IFERROR(__xludf.DUMMYFUNCTION("""COMPUTED_VALUE"""),45974.6875)</f>
        <v>45974.6875</v>
      </c>
      <c r="C760" s="4">
        <f>IFERROR(__xludf.DUMMYFUNCTION("""COMPUTED_VALUE"""),727.4)</f>
        <v>727.4</v>
      </c>
      <c r="D760" s="4">
        <f t="shared" si="3"/>
        <v>-0.03194037796</v>
      </c>
      <c r="E760" s="2"/>
    </row>
    <row r="761">
      <c r="A761" s="1" t="s">
        <v>4</v>
      </c>
      <c r="B761" s="3">
        <f>IFERROR(__xludf.DUMMYFUNCTION("""COMPUTED_VALUE"""),45975.6875)</f>
        <v>45975.6875</v>
      </c>
      <c r="C761" s="4">
        <f>IFERROR(__xludf.DUMMYFUNCTION("""COMPUTED_VALUE"""),700.4)</f>
        <v>700.4</v>
      </c>
      <c r="D761" s="4">
        <f t="shared" si="3"/>
        <v>-0.03711850426</v>
      </c>
      <c r="E761" s="2"/>
    </row>
    <row r="762">
      <c r="A762" s="1" t="s">
        <v>4</v>
      </c>
      <c r="B762" s="3">
        <f>IFERROR(__xludf.DUMMYFUNCTION("""COMPUTED_VALUE"""),45978.6875)</f>
        <v>45978.6875</v>
      </c>
      <c r="C762" s="4">
        <f>IFERROR(__xludf.DUMMYFUNCTION("""COMPUTED_VALUE"""),709.4)</f>
        <v>709.4</v>
      </c>
      <c r="D762" s="4">
        <f t="shared" si="3"/>
        <v>0.01284980011</v>
      </c>
      <c r="E762" s="2"/>
    </row>
    <row r="763">
      <c r="A763" s="1" t="s">
        <v>4</v>
      </c>
      <c r="B763" s="3">
        <f>IFERROR(__xludf.DUMMYFUNCTION("""COMPUTED_VALUE"""),45979.6875)</f>
        <v>45979.6875</v>
      </c>
      <c r="C763" s="4">
        <f>IFERROR(__xludf.DUMMYFUNCTION("""COMPUTED_VALUE"""),701.0)</f>
        <v>701</v>
      </c>
      <c r="D763" s="4">
        <f t="shared" si="3"/>
        <v>-0.01184099239</v>
      </c>
      <c r="E763" s="2"/>
    </row>
    <row r="764">
      <c r="A764" s="1" t="s">
        <v>4</v>
      </c>
      <c r="B764" s="3">
        <f>IFERROR(__xludf.DUMMYFUNCTION("""COMPUTED_VALUE"""),45980.6875)</f>
        <v>45980.6875</v>
      </c>
      <c r="C764" s="4">
        <f>IFERROR(__xludf.DUMMYFUNCTION("""COMPUTED_VALUE"""),711.8)</f>
        <v>711.8</v>
      </c>
      <c r="D764" s="4">
        <f t="shared" si="3"/>
        <v>0.01540656205</v>
      </c>
      <c r="E764" s="2"/>
    </row>
    <row r="765">
      <c r="A765" s="1" t="s">
        <v>4</v>
      </c>
      <c r="B765" s="3">
        <f>IFERROR(__xludf.DUMMYFUNCTION("""COMPUTED_VALUE"""),45981.6875)</f>
        <v>45981.6875</v>
      </c>
      <c r="C765" s="4">
        <f>IFERROR(__xludf.DUMMYFUNCTION("""COMPUTED_VALUE"""),719.8)</f>
        <v>719.8</v>
      </c>
      <c r="D765" s="4">
        <f t="shared" si="3"/>
        <v>0.01123911211</v>
      </c>
      <c r="E765" s="2"/>
    </row>
    <row r="766">
      <c r="A766" s="1" t="s">
        <v>4</v>
      </c>
      <c r="B766" s="3">
        <f>IFERROR(__xludf.DUMMYFUNCTION("""COMPUTED_VALUE"""),45982.6875)</f>
        <v>45982.6875</v>
      </c>
      <c r="C766" s="4">
        <f>IFERROR(__xludf.DUMMYFUNCTION("""COMPUTED_VALUE"""),727.8)</f>
        <v>727.8</v>
      </c>
      <c r="D766" s="4">
        <f t="shared" si="3"/>
        <v>0.01111419839</v>
      </c>
      <c r="E766" s="2"/>
    </row>
    <row r="767">
      <c r="A767" s="1" t="s">
        <v>4</v>
      </c>
      <c r="B767" s="3">
        <f>IFERROR(__xludf.DUMMYFUNCTION("""COMPUTED_VALUE"""),45985.6875)</f>
        <v>45985.6875</v>
      </c>
      <c r="C767" s="4">
        <f>IFERROR(__xludf.DUMMYFUNCTION("""COMPUTED_VALUE"""),735.4)</f>
        <v>735.4</v>
      </c>
      <c r="D767" s="4">
        <f t="shared" si="3"/>
        <v>0.01044242924</v>
      </c>
      <c r="E767" s="2"/>
    </row>
    <row r="768">
      <c r="A768" s="1" t="s">
        <v>4</v>
      </c>
      <c r="B768" s="3">
        <f>IFERROR(__xludf.DUMMYFUNCTION("""COMPUTED_VALUE"""),45986.6875)</f>
        <v>45986.6875</v>
      </c>
      <c r="C768" s="4">
        <f>IFERROR(__xludf.DUMMYFUNCTION("""COMPUTED_VALUE"""),747.0)</f>
        <v>747</v>
      </c>
      <c r="D768" s="4">
        <f t="shared" si="3"/>
        <v>0.01577372858</v>
      </c>
      <c r="E768" s="2"/>
    </row>
    <row r="769">
      <c r="A769" s="1" t="s">
        <v>4</v>
      </c>
      <c r="B769" s="3">
        <f>IFERROR(__xludf.DUMMYFUNCTION("""COMPUTED_VALUE"""),45987.6875)</f>
        <v>45987.6875</v>
      </c>
      <c r="C769" s="4">
        <f>IFERROR(__xludf.DUMMYFUNCTION("""COMPUTED_VALUE"""),772.4)</f>
        <v>772.4</v>
      </c>
      <c r="D769" s="4">
        <f t="shared" si="3"/>
        <v>0.03400267738</v>
      </c>
      <c r="E769" s="2"/>
    </row>
    <row r="770">
      <c r="A770" s="1" t="s">
        <v>4</v>
      </c>
      <c r="B770" s="3">
        <f>IFERROR(__xludf.DUMMYFUNCTION("""COMPUTED_VALUE"""),45988.6875)</f>
        <v>45988.6875</v>
      </c>
      <c r="C770" s="4">
        <f>IFERROR(__xludf.DUMMYFUNCTION("""COMPUTED_VALUE"""),767.4)</f>
        <v>767.4</v>
      </c>
      <c r="D770" s="4">
        <f t="shared" si="3"/>
        <v>-0.006473329881</v>
      </c>
      <c r="E770" s="2"/>
    </row>
    <row r="771">
      <c r="A771" s="1" t="s">
        <v>4</v>
      </c>
      <c r="B771" s="3">
        <f>IFERROR(__xludf.DUMMYFUNCTION("""COMPUTED_VALUE"""),45989.6875)</f>
        <v>45989.6875</v>
      </c>
      <c r="C771" s="4">
        <f>IFERROR(__xludf.DUMMYFUNCTION("""COMPUTED_VALUE"""),777.0)</f>
        <v>777</v>
      </c>
      <c r="D771" s="4">
        <f t="shared" si="3"/>
        <v>0.01250977326</v>
      </c>
      <c r="E771" s="2"/>
    </row>
    <row r="772">
      <c r="A772" s="1" t="s">
        <v>4</v>
      </c>
      <c r="B772" s="3">
        <f>IFERROR(__xludf.DUMMYFUNCTION("""COMPUTED_VALUE"""),45992.6875)</f>
        <v>45992.6875</v>
      </c>
      <c r="C772" s="4">
        <f>IFERROR(__xludf.DUMMYFUNCTION("""COMPUTED_VALUE"""),787.0)</f>
        <v>787</v>
      </c>
      <c r="D772" s="4">
        <f t="shared" si="3"/>
        <v>0.01287001287</v>
      </c>
      <c r="E772" s="2"/>
    </row>
    <row r="773">
      <c r="A773" s="1" t="s">
        <v>4</v>
      </c>
      <c r="B773" s="3">
        <f>IFERROR(__xludf.DUMMYFUNCTION("""COMPUTED_VALUE"""),45993.6875)</f>
        <v>45993.6875</v>
      </c>
      <c r="C773" s="4">
        <f>IFERROR(__xludf.DUMMYFUNCTION("""COMPUTED_VALUE"""),788.6)</f>
        <v>788.6</v>
      </c>
      <c r="D773" s="4">
        <f t="shared" si="3"/>
        <v>0.002033036849</v>
      </c>
      <c r="E773" s="2"/>
    </row>
    <row r="774">
      <c r="A774" s="1" t="s">
        <v>4</v>
      </c>
      <c r="B774" s="3">
        <f>IFERROR(__xludf.DUMMYFUNCTION("""COMPUTED_VALUE"""),45994.6875)</f>
        <v>45994.6875</v>
      </c>
      <c r="C774" s="4">
        <f>IFERROR(__xludf.DUMMYFUNCTION("""COMPUTED_VALUE"""),785.8)</f>
        <v>785.8</v>
      </c>
      <c r="D774" s="4">
        <f t="shared" si="3"/>
        <v>-0.003550595993</v>
      </c>
      <c r="E774" s="2"/>
    </row>
    <row r="775">
      <c r="A775" s="1" t="s">
        <v>4</v>
      </c>
      <c r="B775" s="3">
        <f>IFERROR(__xludf.DUMMYFUNCTION("""COMPUTED_VALUE"""),45995.6875)</f>
        <v>45995.6875</v>
      </c>
      <c r="C775" s="4">
        <f>IFERROR(__xludf.DUMMYFUNCTION("""COMPUTED_VALUE"""),755.2)</f>
        <v>755.2</v>
      </c>
      <c r="D775" s="4">
        <f t="shared" si="3"/>
        <v>-0.03894120641</v>
      </c>
      <c r="E775" s="2"/>
    </row>
    <row r="776">
      <c r="A776" s="1" t="s">
        <v>4</v>
      </c>
      <c r="B776" s="3">
        <f>IFERROR(__xludf.DUMMYFUNCTION("""COMPUTED_VALUE"""),45996.6875)</f>
        <v>45996.6875</v>
      </c>
      <c r="C776" s="4">
        <f>IFERROR(__xludf.DUMMYFUNCTION("""COMPUTED_VALUE"""),759.2)</f>
        <v>759.2</v>
      </c>
      <c r="D776" s="4">
        <f t="shared" si="3"/>
        <v>0.005296610169</v>
      </c>
      <c r="E776" s="2"/>
    </row>
    <row r="777">
      <c r="A777" s="1" t="s">
        <v>4</v>
      </c>
      <c r="B777" s="3">
        <f>IFERROR(__xludf.DUMMYFUNCTION("""COMPUTED_VALUE"""),45999.6875)</f>
        <v>45999.6875</v>
      </c>
      <c r="C777" s="4">
        <f>IFERROR(__xludf.DUMMYFUNCTION("""COMPUTED_VALUE"""),735.2)</f>
        <v>735.2</v>
      </c>
      <c r="D777" s="4">
        <f t="shared" si="3"/>
        <v>-0.03161222339</v>
      </c>
      <c r="E777" s="2"/>
    </row>
    <row r="778">
      <c r="A778" s="2"/>
      <c r="B778" s="1"/>
      <c r="C778" s="1"/>
      <c r="D778" s="4"/>
      <c r="E778" s="2"/>
    </row>
    <row r="779">
      <c r="A779" s="2"/>
      <c r="B779" s="1"/>
      <c r="C779" s="1"/>
      <c r="D779" s="4"/>
      <c r="E779" s="2"/>
    </row>
    <row r="780">
      <c r="A780" s="2"/>
      <c r="B780" s="1"/>
      <c r="C780" s="1"/>
      <c r="D780" s="4"/>
      <c r="E780" s="2"/>
    </row>
    <row r="781">
      <c r="A781" s="2"/>
      <c r="B781" s="1"/>
      <c r="C781" s="1"/>
      <c r="D781" s="4"/>
      <c r="E781" s="2"/>
    </row>
    <row r="782">
      <c r="A782" s="2"/>
      <c r="B782" s="1"/>
      <c r="C782" s="1"/>
      <c r="D782" s="4"/>
      <c r="E782" s="2"/>
    </row>
    <row r="783">
      <c r="A783" s="2"/>
      <c r="B783" s="1"/>
      <c r="C783" s="1"/>
      <c r="D783" s="4"/>
      <c r="E783" s="2"/>
    </row>
    <row r="784">
      <c r="A784" s="2"/>
      <c r="B784" s="1"/>
      <c r="C784" s="1"/>
      <c r="D784" s="4"/>
      <c r="E784" s="2"/>
    </row>
    <row r="785">
      <c r="A785" s="2"/>
      <c r="B785" s="1"/>
      <c r="C785" s="1"/>
      <c r="D785" s="4"/>
      <c r="E785" s="2"/>
    </row>
    <row r="786">
      <c r="A786" s="2"/>
      <c r="B786" s="1"/>
      <c r="C786" s="1"/>
      <c r="D786" s="4"/>
      <c r="E786" s="2"/>
    </row>
    <row r="787">
      <c r="A787" s="2"/>
      <c r="B787" s="1" t="str">
        <f>IFERROR(__xludf.DUMMYFUNCTION("GOOGLEFINANCE(A788,""Price"",edate(today(),-12),today())"),"Date")</f>
        <v>Date</v>
      </c>
      <c r="C787" s="1" t="str">
        <f>IFERROR(__xludf.DUMMYFUNCTION("""COMPUTED_VALUE"""),"Close")</f>
        <v>Close</v>
      </c>
      <c r="D787" s="4"/>
      <c r="E787" s="2"/>
    </row>
    <row r="788">
      <c r="A788" s="1" t="s">
        <v>5</v>
      </c>
      <c r="B788" s="3">
        <f>IFERROR(__xludf.DUMMYFUNCTION("""COMPUTED_VALUE"""),45635.6875)</f>
        <v>45635.6875</v>
      </c>
      <c r="C788" s="4">
        <f>IFERROR(__xludf.DUMMYFUNCTION("""COMPUTED_VALUE"""),4385.62)</f>
        <v>4385.62</v>
      </c>
      <c r="D788" s="4"/>
      <c r="E788" s="2"/>
    </row>
    <row r="789">
      <c r="A789" s="1" t="s">
        <v>5</v>
      </c>
      <c r="B789" s="3">
        <f>IFERROR(__xludf.DUMMYFUNCTION("""COMPUTED_VALUE"""),45636.6875)</f>
        <v>45636.6875</v>
      </c>
      <c r="C789" s="4">
        <f>IFERROR(__xludf.DUMMYFUNCTION("""COMPUTED_VALUE"""),4380.86)</f>
        <v>4380.86</v>
      </c>
      <c r="D789" s="4">
        <f t="shared" ref="D789:D1040" si="4">(C789-C788)/C788</f>
        <v>-0.001085365353</v>
      </c>
      <c r="E789" s="2"/>
    </row>
    <row r="790">
      <c r="A790" s="1" t="s">
        <v>5</v>
      </c>
      <c r="B790" s="3">
        <f>IFERROR(__xludf.DUMMYFUNCTION("""COMPUTED_VALUE"""),45637.6875)</f>
        <v>45637.6875</v>
      </c>
      <c r="C790" s="4">
        <f>IFERROR(__xludf.DUMMYFUNCTION("""COMPUTED_VALUE"""),4399.91)</f>
        <v>4399.91</v>
      </c>
      <c r="D790" s="4">
        <f t="shared" si="4"/>
        <v>0.004348461261</v>
      </c>
      <c r="E790" s="2"/>
    </row>
    <row r="791">
      <c r="A791" s="1" t="s">
        <v>5</v>
      </c>
      <c r="B791" s="3">
        <f>IFERROR(__xludf.DUMMYFUNCTION("""COMPUTED_VALUE"""),45638.6875)</f>
        <v>45638.6875</v>
      </c>
      <c r="C791" s="4">
        <f>IFERROR(__xludf.DUMMYFUNCTION("""COMPUTED_VALUE"""),4419.9)</f>
        <v>4419.9</v>
      </c>
      <c r="D791" s="4">
        <f t="shared" si="4"/>
        <v>0.004543274749</v>
      </c>
      <c r="E791" s="2"/>
    </row>
    <row r="792">
      <c r="A792" s="1" t="s">
        <v>5</v>
      </c>
      <c r="B792" s="3">
        <f>IFERROR(__xludf.DUMMYFUNCTION("""COMPUTED_VALUE"""),45639.6875)</f>
        <v>45639.6875</v>
      </c>
      <c r="C792" s="4">
        <f>IFERROR(__xludf.DUMMYFUNCTION("""COMPUTED_VALUE"""),4439.9)</f>
        <v>4439.9</v>
      </c>
      <c r="D792" s="4">
        <f t="shared" si="4"/>
        <v>0.004524989253</v>
      </c>
      <c r="E792" s="2"/>
    </row>
    <row r="793">
      <c r="A793" s="1" t="s">
        <v>5</v>
      </c>
      <c r="B793" s="3">
        <f>IFERROR(__xludf.DUMMYFUNCTION("""COMPUTED_VALUE"""),45642.6875)</f>
        <v>45642.6875</v>
      </c>
      <c r="C793" s="4">
        <f>IFERROR(__xludf.DUMMYFUNCTION("""COMPUTED_VALUE"""),4454.18)</f>
        <v>4454.18</v>
      </c>
      <c r="D793" s="4">
        <f t="shared" si="4"/>
        <v>0.003216288655</v>
      </c>
      <c r="E793" s="2"/>
    </row>
    <row r="794">
      <c r="A794" s="1" t="s">
        <v>5</v>
      </c>
      <c r="B794" s="3">
        <f>IFERROR(__xludf.DUMMYFUNCTION("""COMPUTED_VALUE"""),45643.6875)</f>
        <v>45643.6875</v>
      </c>
      <c r="C794" s="4">
        <f>IFERROR(__xludf.DUMMYFUNCTION("""COMPUTED_VALUE"""),4429.42)</f>
        <v>4429.42</v>
      </c>
      <c r="D794" s="4">
        <f t="shared" si="4"/>
        <v>-0.005558823397</v>
      </c>
      <c r="E794" s="2"/>
    </row>
    <row r="795">
      <c r="A795" s="1" t="s">
        <v>5</v>
      </c>
      <c r="B795" s="3">
        <f>IFERROR(__xludf.DUMMYFUNCTION("""COMPUTED_VALUE"""),45644.6875)</f>
        <v>45644.6875</v>
      </c>
      <c r="C795" s="4">
        <f>IFERROR(__xludf.DUMMYFUNCTION("""COMPUTED_VALUE"""),4387.53)</f>
        <v>4387.53</v>
      </c>
      <c r="D795" s="4">
        <f t="shared" si="4"/>
        <v>-0.009457220133</v>
      </c>
      <c r="E795" s="2"/>
    </row>
    <row r="796">
      <c r="A796" s="1" t="s">
        <v>5</v>
      </c>
      <c r="B796" s="3">
        <f>IFERROR(__xludf.DUMMYFUNCTION("""COMPUTED_VALUE"""),45645.6875)</f>
        <v>45645.6875</v>
      </c>
      <c r="C796" s="4">
        <f>IFERROR(__xludf.DUMMYFUNCTION("""COMPUTED_VALUE"""),4361.82)</f>
        <v>4361.82</v>
      </c>
      <c r="D796" s="4">
        <f t="shared" si="4"/>
        <v>-0.005859788993</v>
      </c>
      <c r="E796" s="2"/>
    </row>
    <row r="797">
      <c r="A797" s="1" t="s">
        <v>5</v>
      </c>
      <c r="B797" s="3">
        <f>IFERROR(__xludf.DUMMYFUNCTION("""COMPUTED_VALUE"""),45646.6875)</f>
        <v>45646.6875</v>
      </c>
      <c r="C797" s="4">
        <f>IFERROR(__xludf.DUMMYFUNCTION("""COMPUTED_VALUE"""),4340.87)</f>
        <v>4340.87</v>
      </c>
      <c r="D797" s="4">
        <f t="shared" si="4"/>
        <v>-0.004803040932</v>
      </c>
      <c r="E797" s="2"/>
    </row>
    <row r="798">
      <c r="A798" s="1" t="s">
        <v>5</v>
      </c>
      <c r="B798" s="3">
        <f>IFERROR(__xludf.DUMMYFUNCTION("""COMPUTED_VALUE"""),45649.6875)</f>
        <v>45649.6875</v>
      </c>
      <c r="C798" s="4">
        <f>IFERROR(__xludf.DUMMYFUNCTION("""COMPUTED_VALUE"""),4337.06)</f>
        <v>4337.06</v>
      </c>
      <c r="D798" s="4">
        <f t="shared" si="4"/>
        <v>-0.000877704239</v>
      </c>
      <c r="E798" s="2"/>
    </row>
    <row r="799">
      <c r="A799" s="1" t="s">
        <v>5</v>
      </c>
      <c r="B799" s="3">
        <f>IFERROR(__xludf.DUMMYFUNCTION("""COMPUTED_VALUE"""),45650.52083333333)</f>
        <v>45650.52083</v>
      </c>
      <c r="C799" s="4">
        <f>IFERROR(__xludf.DUMMYFUNCTION("""COMPUTED_VALUE"""),4344.68)</f>
        <v>4344.68</v>
      </c>
      <c r="D799" s="4">
        <f t="shared" si="4"/>
        <v>0.001756950561</v>
      </c>
      <c r="E799" s="2"/>
    </row>
    <row r="800">
      <c r="A800" s="1" t="s">
        <v>5</v>
      </c>
      <c r="B800" s="3">
        <f>IFERROR(__xludf.DUMMYFUNCTION("""COMPUTED_VALUE"""),45653.6875)</f>
        <v>45653.6875</v>
      </c>
      <c r="C800" s="4">
        <f>IFERROR(__xludf.DUMMYFUNCTION("""COMPUTED_VALUE"""),4358.01)</f>
        <v>4358.01</v>
      </c>
      <c r="D800" s="4">
        <f t="shared" si="4"/>
        <v>0.003068120092</v>
      </c>
      <c r="E800" s="2"/>
    </row>
    <row r="801">
      <c r="A801" s="1" t="s">
        <v>5</v>
      </c>
      <c r="B801" s="3">
        <f>IFERROR(__xludf.DUMMYFUNCTION("""COMPUTED_VALUE"""),45656.6875)</f>
        <v>45656.6875</v>
      </c>
      <c r="C801" s="4">
        <f>IFERROR(__xludf.DUMMYFUNCTION("""COMPUTED_VALUE"""),4318.02)</f>
        <v>4318.02</v>
      </c>
      <c r="D801" s="4">
        <f t="shared" si="4"/>
        <v>-0.009176206571</v>
      </c>
      <c r="E801" s="2"/>
    </row>
    <row r="802">
      <c r="A802" s="1" t="s">
        <v>5</v>
      </c>
      <c r="B802" s="3">
        <f>IFERROR(__xludf.DUMMYFUNCTION("""COMPUTED_VALUE"""),45657.52083333333)</f>
        <v>45657.52083</v>
      </c>
      <c r="C802" s="4">
        <f>IFERROR(__xludf.DUMMYFUNCTION("""COMPUTED_VALUE"""),4330.4)</f>
        <v>4330.4</v>
      </c>
      <c r="D802" s="4">
        <f t="shared" si="4"/>
        <v>0.002867054808</v>
      </c>
      <c r="E802" s="2"/>
    </row>
    <row r="803">
      <c r="A803" s="1" t="s">
        <v>5</v>
      </c>
      <c r="B803" s="3">
        <f>IFERROR(__xludf.DUMMYFUNCTION("""COMPUTED_VALUE"""),45659.6875)</f>
        <v>45659.6875</v>
      </c>
      <c r="C803" s="4">
        <f>IFERROR(__xludf.DUMMYFUNCTION("""COMPUTED_VALUE"""),4370.39)</f>
        <v>4370.39</v>
      </c>
      <c r="D803" s="4">
        <f t="shared" si="4"/>
        <v>0.009234712729</v>
      </c>
      <c r="E803" s="2"/>
    </row>
    <row r="804">
      <c r="A804" s="1" t="s">
        <v>5</v>
      </c>
      <c r="B804" s="3">
        <f>IFERROR(__xludf.DUMMYFUNCTION("""COMPUTED_VALUE"""),45660.6875)</f>
        <v>45660.6875</v>
      </c>
      <c r="C804" s="4">
        <f>IFERROR(__xludf.DUMMYFUNCTION("""COMPUTED_VALUE"""),4342.78)</f>
        <v>4342.78</v>
      </c>
      <c r="D804" s="4">
        <f t="shared" si="4"/>
        <v>-0.006317513998</v>
      </c>
      <c r="E804" s="2"/>
    </row>
    <row r="805">
      <c r="A805" s="1" t="s">
        <v>5</v>
      </c>
      <c r="B805" s="3">
        <f>IFERROR(__xludf.DUMMYFUNCTION("""COMPUTED_VALUE"""),45663.6875)</f>
        <v>45663.6875</v>
      </c>
      <c r="C805" s="4">
        <f>IFERROR(__xludf.DUMMYFUNCTION("""COMPUTED_VALUE"""),4235.18)</f>
        <v>4235.18</v>
      </c>
      <c r="D805" s="4">
        <f t="shared" si="4"/>
        <v>-0.0247767559</v>
      </c>
      <c r="E805" s="2"/>
    </row>
    <row r="806">
      <c r="A806" s="1" t="s">
        <v>5</v>
      </c>
      <c r="B806" s="3">
        <f>IFERROR(__xludf.DUMMYFUNCTION("""COMPUTED_VALUE"""),45664.6875)</f>
        <v>45664.6875</v>
      </c>
      <c r="C806" s="4">
        <f>IFERROR(__xludf.DUMMYFUNCTION("""COMPUTED_VALUE"""),4281.84)</f>
        <v>4281.84</v>
      </c>
      <c r="D806" s="4">
        <f t="shared" si="4"/>
        <v>0.0110172413</v>
      </c>
      <c r="E806" s="2"/>
    </row>
    <row r="807">
      <c r="A807" s="1" t="s">
        <v>5</v>
      </c>
      <c r="B807" s="3">
        <f>IFERROR(__xludf.DUMMYFUNCTION("""COMPUTED_VALUE"""),45665.6875)</f>
        <v>45665.6875</v>
      </c>
      <c r="C807" s="4">
        <f>IFERROR(__xludf.DUMMYFUNCTION("""COMPUTED_VALUE"""),4310.4)</f>
        <v>4310.4</v>
      </c>
      <c r="D807" s="4">
        <f t="shared" si="4"/>
        <v>0.006670029707</v>
      </c>
      <c r="E807" s="2"/>
    </row>
    <row r="808">
      <c r="A808" s="1" t="s">
        <v>5</v>
      </c>
      <c r="B808" s="3">
        <f>IFERROR(__xludf.DUMMYFUNCTION("""COMPUTED_VALUE"""),45666.6875)</f>
        <v>45666.6875</v>
      </c>
      <c r="C808" s="4">
        <f>IFERROR(__xludf.DUMMYFUNCTION("""COMPUTED_VALUE"""),4362.77)</f>
        <v>4362.77</v>
      </c>
      <c r="D808" s="4">
        <f t="shared" si="4"/>
        <v>0.01214968448</v>
      </c>
      <c r="E808" s="2"/>
    </row>
    <row r="809">
      <c r="A809" s="1" t="s">
        <v>5</v>
      </c>
      <c r="B809" s="3">
        <f>IFERROR(__xludf.DUMMYFUNCTION("""COMPUTED_VALUE"""),45667.6875)</f>
        <v>45667.6875</v>
      </c>
      <c r="C809" s="4">
        <f>IFERROR(__xludf.DUMMYFUNCTION("""COMPUTED_VALUE"""),4317.07)</f>
        <v>4317.07</v>
      </c>
      <c r="D809" s="4">
        <f t="shared" si="4"/>
        <v>-0.01047499639</v>
      </c>
      <c r="E809" s="2"/>
    </row>
    <row r="810">
      <c r="A810" s="1" t="s">
        <v>5</v>
      </c>
      <c r="B810" s="3">
        <f>IFERROR(__xludf.DUMMYFUNCTION("""COMPUTED_VALUE"""),45670.6875)</f>
        <v>45670.6875</v>
      </c>
      <c r="C810" s="4">
        <f>IFERROR(__xludf.DUMMYFUNCTION("""COMPUTED_VALUE"""),4314.21)</f>
        <v>4314.21</v>
      </c>
      <c r="D810" s="4">
        <f t="shared" si="4"/>
        <v>-0.0006624863623</v>
      </c>
      <c r="E810" s="2"/>
    </row>
    <row r="811">
      <c r="A811" s="1" t="s">
        <v>5</v>
      </c>
      <c r="B811" s="3">
        <f>IFERROR(__xludf.DUMMYFUNCTION("""COMPUTED_VALUE"""),45671.6875)</f>
        <v>45671.6875</v>
      </c>
      <c r="C811" s="4">
        <f>IFERROR(__xludf.DUMMYFUNCTION("""COMPUTED_VALUE"""),4265.65)</f>
        <v>4265.65</v>
      </c>
      <c r="D811" s="4">
        <f t="shared" si="4"/>
        <v>-0.01125582668</v>
      </c>
      <c r="E811" s="2"/>
    </row>
    <row r="812">
      <c r="A812" s="1" t="s">
        <v>5</v>
      </c>
      <c r="B812" s="3">
        <f>IFERROR(__xludf.DUMMYFUNCTION("""COMPUTED_VALUE"""),45672.6875)</f>
        <v>45672.6875</v>
      </c>
      <c r="C812" s="4">
        <f>IFERROR(__xludf.DUMMYFUNCTION("""COMPUTED_VALUE"""),4250.42)</f>
        <v>4250.42</v>
      </c>
      <c r="D812" s="4">
        <f t="shared" si="4"/>
        <v>-0.003570382005</v>
      </c>
      <c r="E812" s="2"/>
    </row>
    <row r="813">
      <c r="A813" s="1" t="s">
        <v>5</v>
      </c>
      <c r="B813" s="3">
        <f>IFERROR(__xludf.DUMMYFUNCTION("""COMPUTED_VALUE"""),45673.6875)</f>
        <v>45673.6875</v>
      </c>
      <c r="C813" s="4">
        <f>IFERROR(__xludf.DUMMYFUNCTION("""COMPUTED_VALUE"""),4298.98)</f>
        <v>4298.98</v>
      </c>
      <c r="D813" s="4">
        <f t="shared" si="4"/>
        <v>0.01142475332</v>
      </c>
      <c r="E813" s="2"/>
    </row>
    <row r="814">
      <c r="A814" s="1" t="s">
        <v>5</v>
      </c>
      <c r="B814" s="3">
        <f>IFERROR(__xludf.DUMMYFUNCTION("""COMPUTED_VALUE"""),45674.6875)</f>
        <v>45674.6875</v>
      </c>
      <c r="C814" s="4">
        <f>IFERROR(__xludf.DUMMYFUNCTION("""COMPUTED_VALUE"""),4367.53)</f>
        <v>4367.53</v>
      </c>
      <c r="D814" s="4">
        <f t="shared" si="4"/>
        <v>0.01594564292</v>
      </c>
      <c r="E814" s="2"/>
    </row>
    <row r="815">
      <c r="A815" s="1" t="s">
        <v>5</v>
      </c>
      <c r="B815" s="3">
        <f>IFERROR(__xludf.DUMMYFUNCTION("""COMPUTED_VALUE"""),45677.6875)</f>
        <v>45677.6875</v>
      </c>
      <c r="C815" s="4">
        <f>IFERROR(__xludf.DUMMYFUNCTION("""COMPUTED_VALUE"""),4380.86)</f>
        <v>4380.86</v>
      </c>
      <c r="D815" s="4">
        <f t="shared" si="4"/>
        <v>0.003052068332</v>
      </c>
      <c r="E815" s="2"/>
    </row>
    <row r="816">
      <c r="A816" s="1" t="s">
        <v>5</v>
      </c>
      <c r="B816" s="3">
        <f>IFERROR(__xludf.DUMMYFUNCTION("""COMPUTED_VALUE"""),45678.6875)</f>
        <v>45678.6875</v>
      </c>
      <c r="C816" s="4">
        <f>IFERROR(__xludf.DUMMYFUNCTION("""COMPUTED_VALUE"""),4394.19)</f>
        <v>4394.19</v>
      </c>
      <c r="D816" s="4">
        <f t="shared" si="4"/>
        <v>0.003042781554</v>
      </c>
      <c r="E816" s="2"/>
    </row>
    <row r="817">
      <c r="A817" s="1" t="s">
        <v>5</v>
      </c>
      <c r="B817" s="3">
        <f>IFERROR(__xludf.DUMMYFUNCTION("""COMPUTED_VALUE"""),45679.6875)</f>
        <v>45679.6875</v>
      </c>
      <c r="C817" s="4">
        <f>IFERROR(__xludf.DUMMYFUNCTION("""COMPUTED_VALUE"""),4351.35)</f>
        <v>4351.35</v>
      </c>
      <c r="D817" s="4">
        <f t="shared" si="4"/>
        <v>-0.009749237061</v>
      </c>
      <c r="E817" s="2"/>
    </row>
    <row r="818">
      <c r="A818" s="1" t="s">
        <v>5</v>
      </c>
      <c r="B818" s="3">
        <f>IFERROR(__xludf.DUMMYFUNCTION("""COMPUTED_VALUE"""),45680.6875)</f>
        <v>45680.6875</v>
      </c>
      <c r="C818" s="4">
        <f>IFERROR(__xludf.DUMMYFUNCTION("""COMPUTED_VALUE"""),4375.15)</f>
        <v>4375.15</v>
      </c>
      <c r="D818" s="4">
        <f t="shared" si="4"/>
        <v>0.005469566916</v>
      </c>
      <c r="E818" s="2"/>
    </row>
    <row r="819">
      <c r="A819" s="1" t="s">
        <v>5</v>
      </c>
      <c r="B819" s="3">
        <f>IFERROR(__xludf.DUMMYFUNCTION("""COMPUTED_VALUE"""),45681.6875)</f>
        <v>45681.6875</v>
      </c>
      <c r="C819" s="4">
        <f>IFERROR(__xludf.DUMMYFUNCTION("""COMPUTED_VALUE"""),4326.59)</f>
        <v>4326.59</v>
      </c>
      <c r="D819" s="4">
        <f t="shared" si="4"/>
        <v>-0.01109904803</v>
      </c>
      <c r="E819" s="2"/>
    </row>
    <row r="820">
      <c r="A820" s="1" t="s">
        <v>5</v>
      </c>
      <c r="B820" s="3">
        <f>IFERROR(__xludf.DUMMYFUNCTION("""COMPUTED_VALUE"""),45684.6875)</f>
        <v>45684.6875</v>
      </c>
      <c r="C820" s="4">
        <f>IFERROR(__xludf.DUMMYFUNCTION("""COMPUTED_VALUE"""),4420.85)</f>
        <v>4420.85</v>
      </c>
      <c r="D820" s="4">
        <f t="shared" si="4"/>
        <v>0.02178621039</v>
      </c>
      <c r="E820" s="2"/>
    </row>
    <row r="821">
      <c r="A821" s="1" t="s">
        <v>5</v>
      </c>
      <c r="B821" s="3">
        <f>IFERROR(__xludf.DUMMYFUNCTION("""COMPUTED_VALUE"""),45685.6875)</f>
        <v>45685.6875</v>
      </c>
      <c r="C821" s="4">
        <f>IFERROR(__xludf.DUMMYFUNCTION("""COMPUTED_VALUE"""),4422.76)</f>
        <v>4422.76</v>
      </c>
      <c r="D821" s="4">
        <f t="shared" si="4"/>
        <v>0.0004320436115</v>
      </c>
      <c r="E821" s="2"/>
    </row>
    <row r="822">
      <c r="A822" s="1" t="s">
        <v>5</v>
      </c>
      <c r="B822" s="3">
        <f>IFERROR(__xludf.DUMMYFUNCTION("""COMPUTED_VALUE"""),45686.6875)</f>
        <v>45686.6875</v>
      </c>
      <c r="C822" s="4">
        <f>IFERROR(__xludf.DUMMYFUNCTION("""COMPUTED_VALUE"""),4400.86)</f>
        <v>4400.86</v>
      </c>
      <c r="D822" s="4">
        <f t="shared" si="4"/>
        <v>-0.004951659145</v>
      </c>
      <c r="E822" s="2"/>
    </row>
    <row r="823">
      <c r="A823" s="1" t="s">
        <v>5</v>
      </c>
      <c r="B823" s="3">
        <f>IFERROR(__xludf.DUMMYFUNCTION("""COMPUTED_VALUE"""),45687.6875)</f>
        <v>45687.6875</v>
      </c>
      <c r="C823" s="4">
        <f>IFERROR(__xludf.DUMMYFUNCTION("""COMPUTED_VALUE"""),4438.94)</f>
        <v>4438.94</v>
      </c>
      <c r="D823" s="4">
        <f t="shared" si="4"/>
        <v>0.008652854215</v>
      </c>
      <c r="E823" s="2"/>
    </row>
    <row r="824">
      <c r="A824" s="1" t="s">
        <v>5</v>
      </c>
      <c r="B824" s="3">
        <f>IFERROR(__xludf.DUMMYFUNCTION("""COMPUTED_VALUE"""),45688.6875)</f>
        <v>45688.6875</v>
      </c>
      <c r="C824" s="4">
        <f>IFERROR(__xludf.DUMMYFUNCTION("""COMPUTED_VALUE"""),4410.38)</f>
        <v>4410.38</v>
      </c>
      <c r="D824" s="4">
        <f t="shared" si="4"/>
        <v>-0.00643396847</v>
      </c>
      <c r="E824" s="2"/>
    </row>
    <row r="825">
      <c r="A825" s="1" t="s">
        <v>5</v>
      </c>
      <c r="B825" s="3">
        <f>IFERROR(__xludf.DUMMYFUNCTION("""COMPUTED_VALUE"""),45691.6875)</f>
        <v>45691.6875</v>
      </c>
      <c r="C825" s="4">
        <f>IFERROR(__xludf.DUMMYFUNCTION("""COMPUTED_VALUE"""),4415.14)</f>
        <v>4415.14</v>
      </c>
      <c r="D825" s="4">
        <f t="shared" si="4"/>
        <v>0.001079272081</v>
      </c>
      <c r="E825" s="2"/>
    </row>
    <row r="826">
      <c r="A826" s="1" t="s">
        <v>5</v>
      </c>
      <c r="B826" s="3">
        <f>IFERROR(__xludf.DUMMYFUNCTION("""COMPUTED_VALUE"""),45692.6875)</f>
        <v>45692.6875</v>
      </c>
      <c r="C826" s="4">
        <f>IFERROR(__xludf.DUMMYFUNCTION("""COMPUTED_VALUE"""),4382.77)</f>
        <v>4382.77</v>
      </c>
      <c r="D826" s="4">
        <f t="shared" si="4"/>
        <v>-0.007331590844</v>
      </c>
      <c r="E826" s="2"/>
    </row>
    <row r="827">
      <c r="A827" s="1" t="s">
        <v>5</v>
      </c>
      <c r="B827" s="3">
        <f>IFERROR(__xludf.DUMMYFUNCTION("""COMPUTED_VALUE"""),45693.6875)</f>
        <v>45693.6875</v>
      </c>
      <c r="C827" s="4">
        <f>IFERROR(__xludf.DUMMYFUNCTION("""COMPUTED_VALUE"""),4411.33)</f>
        <v>4411.33</v>
      </c>
      <c r="D827" s="4">
        <f t="shared" si="4"/>
        <v>0.006516426826</v>
      </c>
      <c r="E827" s="2"/>
    </row>
    <row r="828">
      <c r="A828" s="1" t="s">
        <v>5</v>
      </c>
      <c r="B828" s="3">
        <f>IFERROR(__xludf.DUMMYFUNCTION("""COMPUTED_VALUE"""),45694.6875)</f>
        <v>45694.6875</v>
      </c>
      <c r="C828" s="4">
        <f>IFERROR(__xludf.DUMMYFUNCTION("""COMPUTED_VALUE"""),4442.75)</f>
        <v>4442.75</v>
      </c>
      <c r="D828" s="4">
        <f t="shared" si="4"/>
        <v>0.007122568477</v>
      </c>
      <c r="E828" s="2"/>
    </row>
    <row r="829">
      <c r="A829" s="1" t="s">
        <v>5</v>
      </c>
      <c r="B829" s="3">
        <f>IFERROR(__xludf.DUMMYFUNCTION("""COMPUTED_VALUE"""),45695.6875)</f>
        <v>45695.6875</v>
      </c>
      <c r="C829" s="4">
        <f>IFERROR(__xludf.DUMMYFUNCTION("""COMPUTED_VALUE"""),4473.22)</f>
        <v>4473.22</v>
      </c>
      <c r="D829" s="4">
        <f t="shared" si="4"/>
        <v>0.006858364752</v>
      </c>
      <c r="E829" s="2"/>
    </row>
    <row r="830">
      <c r="A830" s="1" t="s">
        <v>5</v>
      </c>
      <c r="B830" s="3">
        <f>IFERROR(__xludf.DUMMYFUNCTION("""COMPUTED_VALUE"""),45698.6875)</f>
        <v>45698.6875</v>
      </c>
      <c r="C830" s="4">
        <f>IFERROR(__xludf.DUMMYFUNCTION("""COMPUTED_VALUE"""),4482.74)</f>
        <v>4482.74</v>
      </c>
      <c r="D830" s="4">
        <f t="shared" si="4"/>
        <v>0.002128220834</v>
      </c>
      <c r="E830" s="2"/>
    </row>
    <row r="831">
      <c r="A831" s="1" t="s">
        <v>5</v>
      </c>
      <c r="B831" s="3">
        <f>IFERROR(__xludf.DUMMYFUNCTION("""COMPUTED_VALUE"""),45699.6875)</f>
        <v>45699.6875</v>
      </c>
      <c r="C831" s="4">
        <f>IFERROR(__xludf.DUMMYFUNCTION("""COMPUTED_VALUE"""),4497.03)</f>
        <v>4497.03</v>
      </c>
      <c r="D831" s="4">
        <f t="shared" si="4"/>
        <v>0.003187782472</v>
      </c>
      <c r="E831" s="2"/>
    </row>
    <row r="832">
      <c r="A832" s="1" t="s">
        <v>5</v>
      </c>
      <c r="B832" s="3">
        <f>IFERROR(__xludf.DUMMYFUNCTION("""COMPUTED_VALUE"""),45700.6875)</f>
        <v>45700.6875</v>
      </c>
      <c r="C832" s="4">
        <f>IFERROR(__xludf.DUMMYFUNCTION("""COMPUTED_VALUE"""),4523.69)</f>
        <v>4523.69</v>
      </c>
      <c r="D832" s="4">
        <f t="shared" si="4"/>
        <v>0.00592835716</v>
      </c>
      <c r="E832" s="2"/>
    </row>
    <row r="833">
      <c r="A833" s="1" t="s">
        <v>5</v>
      </c>
      <c r="B833" s="3">
        <f>IFERROR(__xludf.DUMMYFUNCTION("""COMPUTED_VALUE"""),45701.6875)</f>
        <v>45701.6875</v>
      </c>
      <c r="C833" s="4">
        <f>IFERROR(__xludf.DUMMYFUNCTION("""COMPUTED_VALUE"""),4268.51)</f>
        <v>4268.51</v>
      </c>
      <c r="D833" s="4">
        <f t="shared" si="4"/>
        <v>-0.05640970093</v>
      </c>
      <c r="E833" s="2"/>
    </row>
    <row r="834">
      <c r="A834" s="1" t="s">
        <v>5</v>
      </c>
      <c r="B834" s="3">
        <f>IFERROR(__xludf.DUMMYFUNCTION("""COMPUTED_VALUE"""),45702.6875)</f>
        <v>45702.6875</v>
      </c>
      <c r="C834" s="4">
        <f>IFERROR(__xludf.DUMMYFUNCTION("""COMPUTED_VALUE"""),4188.53)</f>
        <v>4188.53</v>
      </c>
      <c r="D834" s="4">
        <f t="shared" si="4"/>
        <v>-0.01873721744</v>
      </c>
      <c r="E834" s="2"/>
    </row>
    <row r="835">
      <c r="A835" s="1" t="s">
        <v>5</v>
      </c>
      <c r="B835" s="3">
        <f>IFERROR(__xludf.DUMMYFUNCTION("""COMPUTED_VALUE"""),45705.6875)</f>
        <v>45705.6875</v>
      </c>
      <c r="C835" s="4">
        <f>IFERROR(__xludf.DUMMYFUNCTION("""COMPUTED_VALUE"""),4170.44)</f>
        <v>4170.44</v>
      </c>
      <c r="D835" s="4">
        <f t="shared" si="4"/>
        <v>-0.00431893767</v>
      </c>
      <c r="E835" s="2"/>
    </row>
    <row r="836">
      <c r="A836" s="1" t="s">
        <v>5</v>
      </c>
      <c r="B836" s="3">
        <f>IFERROR(__xludf.DUMMYFUNCTION("""COMPUTED_VALUE"""),45706.6875)</f>
        <v>45706.6875</v>
      </c>
      <c r="C836" s="4">
        <f>IFERROR(__xludf.DUMMYFUNCTION("""COMPUTED_VALUE"""),4132.35)</f>
        <v>4132.35</v>
      </c>
      <c r="D836" s="4">
        <f t="shared" si="4"/>
        <v>-0.009133328857</v>
      </c>
      <c r="E836" s="2"/>
    </row>
    <row r="837">
      <c r="A837" s="1" t="s">
        <v>5</v>
      </c>
      <c r="B837" s="3">
        <f>IFERROR(__xludf.DUMMYFUNCTION("""COMPUTED_VALUE"""),45707.6875)</f>
        <v>45707.6875</v>
      </c>
      <c r="C837" s="4">
        <f>IFERROR(__xludf.DUMMYFUNCTION("""COMPUTED_VALUE"""),4190.43)</f>
        <v>4190.43</v>
      </c>
      <c r="D837" s="4">
        <f t="shared" si="4"/>
        <v>0.01405495662</v>
      </c>
      <c r="E837" s="2"/>
    </row>
    <row r="838">
      <c r="A838" s="1" t="s">
        <v>5</v>
      </c>
      <c r="B838" s="3">
        <f>IFERROR(__xludf.DUMMYFUNCTION("""COMPUTED_VALUE"""),45708.6875)</f>
        <v>45708.6875</v>
      </c>
      <c r="C838" s="4">
        <f>IFERROR(__xludf.DUMMYFUNCTION("""COMPUTED_VALUE"""),4170.44)</f>
        <v>4170.44</v>
      </c>
      <c r="D838" s="4">
        <f t="shared" si="4"/>
        <v>-0.004770393492</v>
      </c>
      <c r="E838" s="2"/>
    </row>
    <row r="839">
      <c r="A839" s="1" t="s">
        <v>5</v>
      </c>
      <c r="B839" s="3">
        <f>IFERROR(__xludf.DUMMYFUNCTION("""COMPUTED_VALUE"""),45709.6875)</f>
        <v>45709.6875</v>
      </c>
      <c r="C839" s="4">
        <f>IFERROR(__xludf.DUMMYFUNCTION("""COMPUTED_VALUE"""),4186.62)</f>
        <v>4186.62</v>
      </c>
      <c r="D839" s="4">
        <f t="shared" si="4"/>
        <v>0.003879686556</v>
      </c>
      <c r="E839" s="2"/>
    </row>
    <row r="840">
      <c r="A840" s="1" t="s">
        <v>5</v>
      </c>
      <c r="B840" s="3">
        <f>IFERROR(__xludf.DUMMYFUNCTION("""COMPUTED_VALUE"""),45712.6875)</f>
        <v>45712.6875</v>
      </c>
      <c r="C840" s="4">
        <f>IFERROR(__xludf.DUMMYFUNCTION("""COMPUTED_VALUE"""),4268.51)</f>
        <v>4268.51</v>
      </c>
      <c r="D840" s="4">
        <f t="shared" si="4"/>
        <v>0.0195599314</v>
      </c>
      <c r="E840" s="2"/>
    </row>
    <row r="841">
      <c r="A841" s="1" t="s">
        <v>5</v>
      </c>
      <c r="B841" s="3">
        <f>IFERROR(__xludf.DUMMYFUNCTION("""COMPUTED_VALUE"""),45713.6875)</f>
        <v>45713.6875</v>
      </c>
      <c r="C841" s="4">
        <f>IFERROR(__xludf.DUMMYFUNCTION("""COMPUTED_VALUE"""),4214.24)</f>
        <v>4214.24</v>
      </c>
      <c r="D841" s="4">
        <f t="shared" si="4"/>
        <v>-0.01271403839</v>
      </c>
      <c r="E841" s="2"/>
    </row>
    <row r="842">
      <c r="A842" s="1" t="s">
        <v>5</v>
      </c>
      <c r="B842" s="3">
        <f>IFERROR(__xludf.DUMMYFUNCTION("""COMPUTED_VALUE"""),45714.6875)</f>
        <v>45714.6875</v>
      </c>
      <c r="C842" s="4">
        <f>IFERROR(__xludf.DUMMYFUNCTION("""COMPUTED_VALUE"""),4214.24)</f>
        <v>4214.24</v>
      </c>
      <c r="D842" s="4">
        <f t="shared" si="4"/>
        <v>0</v>
      </c>
      <c r="E842" s="2"/>
    </row>
    <row r="843">
      <c r="A843" s="1" t="s">
        <v>5</v>
      </c>
      <c r="B843" s="3">
        <f>IFERROR(__xludf.DUMMYFUNCTION("""COMPUTED_VALUE"""),45715.6875)</f>
        <v>45715.6875</v>
      </c>
      <c r="C843" s="4">
        <f>IFERROR(__xludf.DUMMYFUNCTION("""COMPUTED_VALUE"""),4232.33)</f>
        <v>4232.33</v>
      </c>
      <c r="D843" s="4">
        <f t="shared" si="4"/>
        <v>0.004292588937</v>
      </c>
      <c r="E843" s="2"/>
    </row>
    <row r="844">
      <c r="A844" s="1" t="s">
        <v>5</v>
      </c>
      <c r="B844" s="3">
        <f>IFERROR(__xludf.DUMMYFUNCTION("""COMPUTED_VALUE"""),45716.6875)</f>
        <v>45716.6875</v>
      </c>
      <c r="C844" s="4">
        <f>IFERROR(__xludf.DUMMYFUNCTION("""COMPUTED_VALUE"""),4272.32)</f>
        <v>4272.32</v>
      </c>
      <c r="D844" s="4">
        <f t="shared" si="4"/>
        <v>0.009448696108</v>
      </c>
      <c r="E844" s="2"/>
    </row>
    <row r="845">
      <c r="A845" s="1" t="s">
        <v>5</v>
      </c>
      <c r="B845" s="3">
        <f>IFERROR(__xludf.DUMMYFUNCTION("""COMPUTED_VALUE"""),45719.6875)</f>
        <v>45719.6875</v>
      </c>
      <c r="C845" s="4">
        <f>IFERROR(__xludf.DUMMYFUNCTION("""COMPUTED_VALUE"""),4321.83)</f>
        <v>4321.83</v>
      </c>
      <c r="D845" s="4">
        <f t="shared" si="4"/>
        <v>0.01158855142</v>
      </c>
      <c r="E845" s="2"/>
    </row>
    <row r="846">
      <c r="A846" s="1" t="s">
        <v>5</v>
      </c>
      <c r="B846" s="3">
        <f>IFERROR(__xludf.DUMMYFUNCTION("""COMPUTED_VALUE"""),45720.6875)</f>
        <v>45720.6875</v>
      </c>
      <c r="C846" s="4">
        <f>IFERROR(__xludf.DUMMYFUNCTION("""COMPUTED_VALUE"""),4396.1)</f>
        <v>4396.1</v>
      </c>
      <c r="D846" s="4">
        <f t="shared" si="4"/>
        <v>0.01718484994</v>
      </c>
      <c r="E846" s="2"/>
    </row>
    <row r="847">
      <c r="A847" s="1" t="s">
        <v>5</v>
      </c>
      <c r="B847" s="3">
        <f>IFERROR(__xludf.DUMMYFUNCTION("""COMPUTED_VALUE"""),45721.6875)</f>
        <v>45721.6875</v>
      </c>
      <c r="C847" s="4">
        <f>IFERROR(__xludf.DUMMYFUNCTION("""COMPUTED_VALUE"""),4320.88)</f>
        <v>4320.88</v>
      </c>
      <c r="D847" s="4">
        <f t="shared" si="4"/>
        <v>-0.01711062078</v>
      </c>
      <c r="E847" s="2"/>
    </row>
    <row r="848">
      <c r="A848" s="1" t="s">
        <v>5</v>
      </c>
      <c r="B848" s="3">
        <f>IFERROR(__xludf.DUMMYFUNCTION("""COMPUTED_VALUE"""),45722.6875)</f>
        <v>45722.6875</v>
      </c>
      <c r="C848" s="4">
        <f>IFERROR(__xludf.DUMMYFUNCTION("""COMPUTED_VALUE"""),4320.88)</f>
        <v>4320.88</v>
      </c>
      <c r="D848" s="4">
        <f t="shared" si="4"/>
        <v>0</v>
      </c>
      <c r="E848" s="2"/>
    </row>
    <row r="849">
      <c r="A849" s="1" t="s">
        <v>5</v>
      </c>
      <c r="B849" s="3">
        <f>IFERROR(__xludf.DUMMYFUNCTION("""COMPUTED_VALUE"""),45723.6875)</f>
        <v>45723.6875</v>
      </c>
      <c r="C849" s="4">
        <f>IFERROR(__xludf.DUMMYFUNCTION("""COMPUTED_VALUE"""),4386.58)</f>
        <v>4386.58</v>
      </c>
      <c r="D849" s="4">
        <f t="shared" si="4"/>
        <v>0.01520523597</v>
      </c>
      <c r="E849" s="2"/>
    </row>
    <row r="850">
      <c r="A850" s="1" t="s">
        <v>5</v>
      </c>
      <c r="B850" s="3">
        <f>IFERROR(__xludf.DUMMYFUNCTION("""COMPUTED_VALUE"""),45726.6875)</f>
        <v>45726.6875</v>
      </c>
      <c r="C850" s="4">
        <f>IFERROR(__xludf.DUMMYFUNCTION("""COMPUTED_VALUE"""),4483.7)</f>
        <v>4483.7</v>
      </c>
      <c r="D850" s="4">
        <f t="shared" si="4"/>
        <v>0.02214025505</v>
      </c>
      <c r="E850" s="2"/>
    </row>
    <row r="851">
      <c r="A851" s="1" t="s">
        <v>5</v>
      </c>
      <c r="B851" s="3">
        <f>IFERROR(__xludf.DUMMYFUNCTION("""COMPUTED_VALUE"""),45727.6875)</f>
        <v>45727.6875</v>
      </c>
      <c r="C851" s="4">
        <f>IFERROR(__xludf.DUMMYFUNCTION("""COMPUTED_VALUE"""),4366.58)</f>
        <v>4366.58</v>
      </c>
      <c r="D851" s="4">
        <f t="shared" si="4"/>
        <v>-0.02612128376</v>
      </c>
      <c r="E851" s="2"/>
    </row>
    <row r="852">
      <c r="A852" s="1" t="s">
        <v>5</v>
      </c>
      <c r="B852" s="3">
        <f>IFERROR(__xludf.DUMMYFUNCTION("""COMPUTED_VALUE"""),45728.6875)</f>
        <v>45728.6875</v>
      </c>
      <c r="C852" s="4">
        <f>IFERROR(__xludf.DUMMYFUNCTION("""COMPUTED_VALUE"""),4363.72)</f>
        <v>4363.72</v>
      </c>
      <c r="D852" s="4">
        <f t="shared" si="4"/>
        <v>-0.0006549748316</v>
      </c>
      <c r="E852" s="2"/>
    </row>
    <row r="853">
      <c r="A853" s="1" t="s">
        <v>5</v>
      </c>
      <c r="B853" s="3">
        <f>IFERROR(__xludf.DUMMYFUNCTION("""COMPUTED_VALUE"""),45729.6875)</f>
        <v>45729.6875</v>
      </c>
      <c r="C853" s="4">
        <f>IFERROR(__xludf.DUMMYFUNCTION("""COMPUTED_VALUE"""),4308.5)</f>
        <v>4308.5</v>
      </c>
      <c r="D853" s="4">
        <f t="shared" si="4"/>
        <v>-0.01265434079</v>
      </c>
      <c r="E853" s="2"/>
    </row>
    <row r="854">
      <c r="A854" s="1" t="s">
        <v>5</v>
      </c>
      <c r="B854" s="3">
        <f>IFERROR(__xludf.DUMMYFUNCTION("""COMPUTED_VALUE"""),45730.6875)</f>
        <v>45730.6875</v>
      </c>
      <c r="C854" s="4">
        <f>IFERROR(__xludf.DUMMYFUNCTION("""COMPUTED_VALUE"""),4322.78)</f>
        <v>4322.78</v>
      </c>
      <c r="D854" s="4">
        <f t="shared" si="4"/>
        <v>0.003314378554</v>
      </c>
      <c r="E854" s="2"/>
    </row>
    <row r="855">
      <c r="A855" s="1" t="s">
        <v>5</v>
      </c>
      <c r="B855" s="3">
        <f>IFERROR(__xludf.DUMMYFUNCTION("""COMPUTED_VALUE"""),45733.6875)</f>
        <v>45733.6875</v>
      </c>
      <c r="C855" s="4">
        <f>IFERROR(__xludf.DUMMYFUNCTION("""COMPUTED_VALUE"""),4376.1)</f>
        <v>4376.1</v>
      </c>
      <c r="D855" s="4">
        <f t="shared" si="4"/>
        <v>0.01233465501</v>
      </c>
      <c r="E855" s="2"/>
    </row>
    <row r="856">
      <c r="A856" s="1" t="s">
        <v>5</v>
      </c>
      <c r="B856" s="3">
        <f>IFERROR(__xludf.DUMMYFUNCTION("""COMPUTED_VALUE"""),45734.6875)</f>
        <v>45734.6875</v>
      </c>
      <c r="C856" s="4">
        <f>IFERROR(__xludf.DUMMYFUNCTION("""COMPUTED_VALUE"""),4312.31)</f>
        <v>4312.31</v>
      </c>
      <c r="D856" s="4">
        <f t="shared" si="4"/>
        <v>-0.01457690638</v>
      </c>
      <c r="E856" s="2"/>
    </row>
    <row r="857">
      <c r="A857" s="1" t="s">
        <v>5</v>
      </c>
      <c r="B857" s="3">
        <f>IFERROR(__xludf.DUMMYFUNCTION("""COMPUTED_VALUE"""),45735.6875)</f>
        <v>45735.6875</v>
      </c>
      <c r="C857" s="4">
        <f>IFERROR(__xludf.DUMMYFUNCTION("""COMPUTED_VALUE"""),4309.45)</f>
        <v>4309.45</v>
      </c>
      <c r="D857" s="4">
        <f t="shared" si="4"/>
        <v>-0.0006632176258</v>
      </c>
      <c r="E857" s="2"/>
    </row>
    <row r="858">
      <c r="A858" s="1" t="s">
        <v>5</v>
      </c>
      <c r="B858" s="3">
        <f>IFERROR(__xludf.DUMMYFUNCTION("""COMPUTED_VALUE"""),45736.6875)</f>
        <v>45736.6875</v>
      </c>
      <c r="C858" s="4">
        <f>IFERROR(__xludf.DUMMYFUNCTION("""COMPUTED_VALUE"""),4345.63)</f>
        <v>4345.63</v>
      </c>
      <c r="D858" s="4">
        <f t="shared" si="4"/>
        <v>0.008395502906</v>
      </c>
      <c r="E858" s="2"/>
    </row>
    <row r="859">
      <c r="A859" s="1" t="s">
        <v>5</v>
      </c>
      <c r="B859" s="3">
        <f>IFERROR(__xludf.DUMMYFUNCTION("""COMPUTED_VALUE"""),45737.6875)</f>
        <v>45737.6875</v>
      </c>
      <c r="C859" s="4">
        <f>IFERROR(__xludf.DUMMYFUNCTION("""COMPUTED_VALUE"""),4338.02)</f>
        <v>4338.02</v>
      </c>
      <c r="D859" s="4">
        <f t="shared" si="4"/>
        <v>-0.001751184523</v>
      </c>
      <c r="E859" s="2"/>
    </row>
    <row r="860">
      <c r="A860" s="1" t="s">
        <v>5</v>
      </c>
      <c r="B860" s="3">
        <f>IFERROR(__xludf.DUMMYFUNCTION("""COMPUTED_VALUE"""),45740.6875)</f>
        <v>45740.6875</v>
      </c>
      <c r="C860" s="4">
        <f>IFERROR(__xludf.DUMMYFUNCTION("""COMPUTED_VALUE"""),4283.74)</f>
        <v>4283.74</v>
      </c>
      <c r="D860" s="4">
        <f t="shared" si="4"/>
        <v>-0.01251262097</v>
      </c>
      <c r="E860" s="2"/>
    </row>
    <row r="861">
      <c r="A861" s="1" t="s">
        <v>5</v>
      </c>
      <c r="B861" s="3">
        <f>IFERROR(__xludf.DUMMYFUNCTION("""COMPUTED_VALUE"""),45741.6875)</f>
        <v>45741.6875</v>
      </c>
      <c r="C861" s="4">
        <f>IFERROR(__xludf.DUMMYFUNCTION("""COMPUTED_VALUE"""),4275.17)</f>
        <v>4275.17</v>
      </c>
      <c r="D861" s="4">
        <f t="shared" si="4"/>
        <v>-0.002000588271</v>
      </c>
      <c r="E861" s="2"/>
    </row>
    <row r="862">
      <c r="A862" s="1" t="s">
        <v>5</v>
      </c>
      <c r="B862" s="3">
        <f>IFERROR(__xludf.DUMMYFUNCTION("""COMPUTED_VALUE"""),45742.6875)</f>
        <v>45742.6875</v>
      </c>
      <c r="C862" s="4">
        <f>IFERROR(__xludf.DUMMYFUNCTION("""COMPUTED_VALUE"""),4275.17)</f>
        <v>4275.17</v>
      </c>
      <c r="D862" s="4">
        <f t="shared" si="4"/>
        <v>0</v>
      </c>
      <c r="E862" s="2"/>
    </row>
    <row r="863">
      <c r="A863" s="1" t="s">
        <v>5</v>
      </c>
      <c r="B863" s="3">
        <f>IFERROR(__xludf.DUMMYFUNCTION("""COMPUTED_VALUE"""),45743.6875)</f>
        <v>45743.6875</v>
      </c>
      <c r="C863" s="4">
        <f>IFERROR(__xludf.DUMMYFUNCTION("""COMPUTED_VALUE"""),4301.83)</f>
        <v>4301.83</v>
      </c>
      <c r="D863" s="4">
        <f t="shared" si="4"/>
        <v>0.006236009328</v>
      </c>
      <c r="E863" s="2"/>
    </row>
    <row r="864">
      <c r="A864" s="1" t="s">
        <v>5</v>
      </c>
      <c r="B864" s="3">
        <f>IFERROR(__xludf.DUMMYFUNCTION("""COMPUTED_VALUE"""),45744.6875)</f>
        <v>45744.6875</v>
      </c>
      <c r="C864" s="4">
        <f>IFERROR(__xludf.DUMMYFUNCTION("""COMPUTED_VALUE"""),4367.53)</f>
        <v>4367.53</v>
      </c>
      <c r="D864" s="4">
        <f t="shared" si="4"/>
        <v>0.01527257005</v>
      </c>
      <c r="E864" s="2"/>
    </row>
    <row r="865">
      <c r="A865" s="1" t="s">
        <v>5</v>
      </c>
      <c r="B865" s="3">
        <f>IFERROR(__xludf.DUMMYFUNCTION("""COMPUTED_VALUE"""),45747.6875)</f>
        <v>45747.6875</v>
      </c>
      <c r="C865" s="4">
        <f>IFERROR(__xludf.DUMMYFUNCTION("""COMPUTED_VALUE"""),4389.43)</f>
        <v>4389.43</v>
      </c>
      <c r="D865" s="4">
        <f t="shared" si="4"/>
        <v>0.005014275803</v>
      </c>
      <c r="E865" s="2"/>
    </row>
    <row r="866">
      <c r="A866" s="1" t="s">
        <v>5</v>
      </c>
      <c r="B866" s="3">
        <f>IFERROR(__xludf.DUMMYFUNCTION("""COMPUTED_VALUE"""),45748.6875)</f>
        <v>45748.6875</v>
      </c>
      <c r="C866" s="4">
        <f>IFERROR(__xludf.DUMMYFUNCTION("""COMPUTED_VALUE"""),4398.95)</f>
        <v>4398.95</v>
      </c>
      <c r="D866" s="4">
        <f t="shared" si="4"/>
        <v>0.002168846524</v>
      </c>
      <c r="E866" s="2"/>
    </row>
    <row r="867">
      <c r="A867" s="1" t="s">
        <v>5</v>
      </c>
      <c r="B867" s="3">
        <f>IFERROR(__xludf.DUMMYFUNCTION("""COMPUTED_VALUE"""),45749.6875)</f>
        <v>45749.6875</v>
      </c>
      <c r="C867" s="4">
        <f>IFERROR(__xludf.DUMMYFUNCTION("""COMPUTED_VALUE"""),4421.81)</f>
        <v>4421.81</v>
      </c>
      <c r="D867" s="4">
        <f t="shared" si="4"/>
        <v>0.005196694666</v>
      </c>
      <c r="E867" s="2"/>
    </row>
    <row r="868">
      <c r="A868" s="1" t="s">
        <v>5</v>
      </c>
      <c r="B868" s="3">
        <f>IFERROR(__xludf.DUMMYFUNCTION("""COMPUTED_VALUE"""),45750.6875)</f>
        <v>45750.6875</v>
      </c>
      <c r="C868" s="4">
        <f>IFERROR(__xludf.DUMMYFUNCTION("""COMPUTED_VALUE"""),4555.11)</f>
        <v>4555.11</v>
      </c>
      <c r="D868" s="4">
        <f t="shared" si="4"/>
        <v>0.03014602617</v>
      </c>
      <c r="E868" s="2"/>
    </row>
    <row r="869">
      <c r="A869" s="1" t="s">
        <v>5</v>
      </c>
      <c r="B869" s="3">
        <f>IFERROR(__xludf.DUMMYFUNCTION("""COMPUTED_VALUE"""),45751.6875)</f>
        <v>45751.6875</v>
      </c>
      <c r="C869" s="4">
        <f>IFERROR(__xludf.DUMMYFUNCTION("""COMPUTED_VALUE"""),4469.41)</f>
        <v>4469.41</v>
      </c>
      <c r="D869" s="4">
        <f t="shared" si="4"/>
        <v>-0.01881403523</v>
      </c>
      <c r="E869" s="2"/>
    </row>
    <row r="870">
      <c r="A870" s="1" t="s">
        <v>5</v>
      </c>
      <c r="B870" s="3">
        <f>IFERROR(__xludf.DUMMYFUNCTION("""COMPUTED_VALUE"""),45754.6875)</f>
        <v>45754.6875</v>
      </c>
      <c r="C870" s="4">
        <f>IFERROR(__xludf.DUMMYFUNCTION("""COMPUTED_VALUE"""),4260.89)</f>
        <v>4260.89</v>
      </c>
      <c r="D870" s="4">
        <f t="shared" si="4"/>
        <v>-0.04665492761</v>
      </c>
      <c r="E870" s="2"/>
    </row>
    <row r="871">
      <c r="A871" s="1" t="s">
        <v>5</v>
      </c>
      <c r="B871" s="3">
        <f>IFERROR(__xludf.DUMMYFUNCTION("""COMPUTED_VALUE"""),45755.6875)</f>
        <v>45755.6875</v>
      </c>
      <c r="C871" s="4">
        <f>IFERROR(__xludf.DUMMYFUNCTION("""COMPUTED_VALUE"""),4364.68)</f>
        <v>4364.68</v>
      </c>
      <c r="D871" s="4">
        <f t="shared" si="4"/>
        <v>0.02435876073</v>
      </c>
      <c r="E871" s="2"/>
    </row>
    <row r="872">
      <c r="A872" s="1" t="s">
        <v>5</v>
      </c>
      <c r="B872" s="3">
        <f>IFERROR(__xludf.DUMMYFUNCTION("""COMPUTED_VALUE"""),45756.6875)</f>
        <v>45756.6875</v>
      </c>
      <c r="C872" s="4">
        <f>IFERROR(__xludf.DUMMYFUNCTION("""COMPUTED_VALUE"""),4287.55)</f>
        <v>4287.55</v>
      </c>
      <c r="D872" s="4">
        <f t="shared" si="4"/>
        <v>-0.01767139859</v>
      </c>
      <c r="E872" s="2"/>
    </row>
    <row r="873">
      <c r="A873" s="1" t="s">
        <v>5</v>
      </c>
      <c r="B873" s="3">
        <f>IFERROR(__xludf.DUMMYFUNCTION("""COMPUTED_VALUE"""),45757.6875)</f>
        <v>45757.6875</v>
      </c>
      <c r="C873" s="4">
        <f>IFERROR(__xludf.DUMMYFUNCTION("""COMPUTED_VALUE"""),4351.35)</f>
        <v>4351.35</v>
      </c>
      <c r="D873" s="4">
        <f t="shared" si="4"/>
        <v>0.01488029294</v>
      </c>
      <c r="E873" s="2"/>
    </row>
    <row r="874">
      <c r="A874" s="1" t="s">
        <v>5</v>
      </c>
      <c r="B874" s="3">
        <f>IFERROR(__xludf.DUMMYFUNCTION("""COMPUTED_VALUE"""),45758.6875)</f>
        <v>45758.6875</v>
      </c>
      <c r="C874" s="4">
        <f>IFERROR(__xludf.DUMMYFUNCTION("""COMPUTED_VALUE"""),4447.51)</f>
        <v>4447.51</v>
      </c>
      <c r="D874" s="4">
        <f t="shared" si="4"/>
        <v>0.02209888885</v>
      </c>
      <c r="E874" s="2"/>
    </row>
    <row r="875">
      <c r="A875" s="1" t="s">
        <v>5</v>
      </c>
      <c r="B875" s="3">
        <f>IFERROR(__xludf.DUMMYFUNCTION("""COMPUTED_VALUE"""),45761.6875)</f>
        <v>45761.6875</v>
      </c>
      <c r="C875" s="4">
        <f>IFERROR(__xludf.DUMMYFUNCTION("""COMPUTED_VALUE"""),4467.51)</f>
        <v>4467.51</v>
      </c>
      <c r="D875" s="4">
        <f t="shared" si="4"/>
        <v>0.004496898264</v>
      </c>
      <c r="E875" s="2"/>
    </row>
    <row r="876">
      <c r="A876" s="1" t="s">
        <v>5</v>
      </c>
      <c r="B876" s="3">
        <f>IFERROR(__xludf.DUMMYFUNCTION("""COMPUTED_VALUE"""),45762.6875)</f>
        <v>45762.6875</v>
      </c>
      <c r="C876" s="4">
        <f>IFERROR(__xludf.DUMMYFUNCTION("""COMPUTED_VALUE"""),4462.75)</f>
        <v>4462.75</v>
      </c>
      <c r="D876" s="4">
        <f t="shared" si="4"/>
        <v>-0.001065470475</v>
      </c>
      <c r="E876" s="2"/>
    </row>
    <row r="877">
      <c r="A877" s="1" t="s">
        <v>5</v>
      </c>
      <c r="B877" s="3">
        <f>IFERROR(__xludf.DUMMYFUNCTION("""COMPUTED_VALUE"""),45763.6875)</f>
        <v>45763.6875</v>
      </c>
      <c r="C877" s="4">
        <f>IFERROR(__xludf.DUMMYFUNCTION("""COMPUTED_VALUE"""),4521.78)</f>
        <v>4521.78</v>
      </c>
      <c r="D877" s="4">
        <f t="shared" si="4"/>
        <v>0.01322727018</v>
      </c>
      <c r="E877" s="2"/>
    </row>
    <row r="878">
      <c r="A878" s="1" t="s">
        <v>5</v>
      </c>
      <c r="B878" s="3">
        <f>IFERROR(__xludf.DUMMYFUNCTION("""COMPUTED_VALUE"""),45764.6875)</f>
        <v>45764.6875</v>
      </c>
      <c r="C878" s="4">
        <f>IFERROR(__xludf.DUMMYFUNCTION("""COMPUTED_VALUE"""),4576.05)</f>
        <v>4576.05</v>
      </c>
      <c r="D878" s="4">
        <f t="shared" si="4"/>
        <v>0.01200191075</v>
      </c>
      <c r="E878" s="2"/>
    </row>
    <row r="879">
      <c r="A879" s="1" t="s">
        <v>5</v>
      </c>
      <c r="B879" s="3">
        <f>IFERROR(__xludf.DUMMYFUNCTION("""COMPUTED_VALUE"""),45769.6875)</f>
        <v>45769.6875</v>
      </c>
      <c r="C879" s="4">
        <f>IFERROR(__xludf.DUMMYFUNCTION("""COMPUTED_VALUE"""),4647.47)</f>
        <v>4647.47</v>
      </c>
      <c r="D879" s="4">
        <f t="shared" si="4"/>
        <v>0.01560734695</v>
      </c>
      <c r="E879" s="2"/>
    </row>
    <row r="880">
      <c r="A880" s="1" t="s">
        <v>5</v>
      </c>
      <c r="B880" s="3">
        <f>IFERROR(__xludf.DUMMYFUNCTION("""COMPUTED_VALUE"""),45770.6875)</f>
        <v>45770.6875</v>
      </c>
      <c r="C880" s="4">
        <f>IFERROR(__xludf.DUMMYFUNCTION("""COMPUTED_VALUE"""),4585.58)</f>
        <v>4585.58</v>
      </c>
      <c r="D880" s="4">
        <f t="shared" si="4"/>
        <v>-0.01331692297</v>
      </c>
      <c r="E880" s="2"/>
    </row>
    <row r="881">
      <c r="A881" s="1" t="s">
        <v>5</v>
      </c>
      <c r="B881" s="3">
        <f>IFERROR(__xludf.DUMMYFUNCTION("""COMPUTED_VALUE"""),45771.6875)</f>
        <v>45771.6875</v>
      </c>
      <c r="C881" s="4">
        <f>IFERROR(__xludf.DUMMYFUNCTION("""COMPUTED_VALUE"""),4561.77)</f>
        <v>4561.77</v>
      </c>
      <c r="D881" s="4">
        <f t="shared" si="4"/>
        <v>-0.005192363889</v>
      </c>
      <c r="E881" s="2"/>
    </row>
    <row r="882">
      <c r="A882" s="1" t="s">
        <v>5</v>
      </c>
      <c r="B882" s="3">
        <f>IFERROR(__xludf.DUMMYFUNCTION("""COMPUTED_VALUE"""),45772.6875)</f>
        <v>45772.6875</v>
      </c>
      <c r="C882" s="4">
        <f>IFERROR(__xludf.DUMMYFUNCTION("""COMPUTED_VALUE"""),4460.84)</f>
        <v>4460.84</v>
      </c>
      <c r="D882" s="4">
        <f t="shared" si="4"/>
        <v>-0.02212518387</v>
      </c>
      <c r="E882" s="2"/>
    </row>
    <row r="883">
      <c r="A883" s="1" t="s">
        <v>5</v>
      </c>
      <c r="B883" s="3">
        <f>IFERROR(__xludf.DUMMYFUNCTION("""COMPUTED_VALUE"""),45775.6875)</f>
        <v>45775.6875</v>
      </c>
      <c r="C883" s="4">
        <f>IFERROR(__xludf.DUMMYFUNCTION("""COMPUTED_VALUE"""),4474.17)</f>
        <v>4474.17</v>
      </c>
      <c r="D883" s="4">
        <f t="shared" si="4"/>
        <v>0.002988226433</v>
      </c>
      <c r="E883" s="2"/>
    </row>
    <row r="884">
      <c r="A884" s="1" t="s">
        <v>5</v>
      </c>
      <c r="B884" s="3">
        <f>IFERROR(__xludf.DUMMYFUNCTION("""COMPUTED_VALUE"""),45776.6875)</f>
        <v>45776.6875</v>
      </c>
      <c r="C884" s="4">
        <f>IFERROR(__xludf.DUMMYFUNCTION("""COMPUTED_VALUE"""),4462.75)</f>
        <v>4462.75</v>
      </c>
      <c r="D884" s="4">
        <f t="shared" si="4"/>
        <v>-0.002552428719</v>
      </c>
      <c r="E884" s="2"/>
    </row>
    <row r="885">
      <c r="A885" s="1" t="s">
        <v>5</v>
      </c>
      <c r="B885" s="3">
        <f>IFERROR(__xludf.DUMMYFUNCTION("""COMPUTED_VALUE"""),45777.6875)</f>
        <v>45777.6875</v>
      </c>
      <c r="C885" s="4">
        <f>IFERROR(__xludf.DUMMYFUNCTION("""COMPUTED_VALUE"""),4531.3)</f>
        <v>4531.3</v>
      </c>
      <c r="D885" s="4">
        <f t="shared" si="4"/>
        <v>0.01536048401</v>
      </c>
      <c r="E885" s="2"/>
    </row>
    <row r="886">
      <c r="A886" s="1" t="s">
        <v>5</v>
      </c>
      <c r="B886" s="3">
        <f>IFERROR(__xludf.DUMMYFUNCTION("""COMPUTED_VALUE"""),45778.6875)</f>
        <v>45778.6875</v>
      </c>
      <c r="C886" s="4">
        <f>IFERROR(__xludf.DUMMYFUNCTION("""COMPUTED_VALUE"""),4499.88)</f>
        <v>4499.88</v>
      </c>
      <c r="D886" s="4">
        <f t="shared" si="4"/>
        <v>-0.006933992452</v>
      </c>
      <c r="E886" s="2"/>
    </row>
    <row r="887">
      <c r="A887" s="1" t="s">
        <v>5</v>
      </c>
      <c r="B887" s="3">
        <f>IFERROR(__xludf.DUMMYFUNCTION("""COMPUTED_VALUE"""),45779.6875)</f>
        <v>45779.6875</v>
      </c>
      <c r="C887" s="4">
        <f>IFERROR(__xludf.DUMMYFUNCTION("""COMPUTED_VALUE"""),4537.97)</f>
        <v>4537.97</v>
      </c>
      <c r="D887" s="4">
        <f t="shared" si="4"/>
        <v>0.008464670169</v>
      </c>
      <c r="E887" s="2"/>
    </row>
    <row r="888">
      <c r="A888" s="1" t="s">
        <v>5</v>
      </c>
      <c r="B888" s="3">
        <f>IFERROR(__xludf.DUMMYFUNCTION("""COMPUTED_VALUE"""),45783.6875)</f>
        <v>45783.6875</v>
      </c>
      <c r="C888" s="4">
        <f>IFERROR(__xludf.DUMMYFUNCTION("""COMPUTED_VALUE"""),4551.3)</f>
        <v>4551.3</v>
      </c>
      <c r="D888" s="4">
        <f t="shared" si="4"/>
        <v>0.002937436783</v>
      </c>
      <c r="E888" s="2"/>
    </row>
    <row r="889">
      <c r="A889" s="1" t="s">
        <v>5</v>
      </c>
      <c r="B889" s="3">
        <f>IFERROR(__xludf.DUMMYFUNCTION("""COMPUTED_VALUE"""),45784.6875)</f>
        <v>45784.6875</v>
      </c>
      <c r="C889" s="4">
        <f>IFERROR(__xludf.DUMMYFUNCTION("""COMPUTED_VALUE"""),4568.44)</f>
        <v>4568.44</v>
      </c>
      <c r="D889" s="4">
        <f t="shared" si="4"/>
        <v>0.003765956979</v>
      </c>
      <c r="E889" s="2"/>
    </row>
    <row r="890">
      <c r="A890" s="1" t="s">
        <v>5</v>
      </c>
      <c r="B890" s="3">
        <f>IFERROR(__xludf.DUMMYFUNCTION("""COMPUTED_VALUE"""),45785.6875)</f>
        <v>45785.6875</v>
      </c>
      <c r="C890" s="4">
        <f>IFERROR(__xludf.DUMMYFUNCTION("""COMPUTED_VALUE"""),4476.08)</f>
        <v>4476.08</v>
      </c>
      <c r="D890" s="4">
        <f t="shared" si="4"/>
        <v>-0.02021696684</v>
      </c>
      <c r="E890" s="2"/>
    </row>
    <row r="891">
      <c r="A891" s="1" t="s">
        <v>5</v>
      </c>
      <c r="B891" s="3">
        <f>IFERROR(__xludf.DUMMYFUNCTION("""COMPUTED_VALUE"""),45786.6875)</f>
        <v>45786.6875</v>
      </c>
      <c r="C891" s="4">
        <f>IFERROR(__xludf.DUMMYFUNCTION("""COMPUTED_VALUE"""),4493.22)</f>
        <v>4493.22</v>
      </c>
      <c r="D891" s="4">
        <f t="shared" si="4"/>
        <v>0.003829243445</v>
      </c>
      <c r="E891" s="2"/>
    </row>
    <row r="892">
      <c r="A892" s="1" t="s">
        <v>5</v>
      </c>
      <c r="B892" s="3">
        <f>IFERROR(__xludf.DUMMYFUNCTION("""COMPUTED_VALUE"""),45789.6875)</f>
        <v>45789.6875</v>
      </c>
      <c r="C892" s="4">
        <f>IFERROR(__xludf.DUMMYFUNCTION("""COMPUTED_VALUE"""),4421.81)</f>
        <v>4421.81</v>
      </c>
      <c r="D892" s="4">
        <f t="shared" si="4"/>
        <v>-0.01589283409</v>
      </c>
      <c r="E892" s="2"/>
    </row>
    <row r="893">
      <c r="A893" s="1" t="s">
        <v>5</v>
      </c>
      <c r="B893" s="3">
        <f>IFERROR(__xludf.DUMMYFUNCTION("""COMPUTED_VALUE"""),45790.6875)</f>
        <v>45790.6875</v>
      </c>
      <c r="C893" s="4">
        <f>IFERROR(__xludf.DUMMYFUNCTION("""COMPUTED_VALUE"""),4348.49)</f>
        <v>4348.49</v>
      </c>
      <c r="D893" s="4">
        <f t="shared" si="4"/>
        <v>-0.01658144515</v>
      </c>
      <c r="E893" s="2"/>
    </row>
    <row r="894">
      <c r="A894" s="1" t="s">
        <v>5</v>
      </c>
      <c r="B894" s="3">
        <f>IFERROR(__xludf.DUMMYFUNCTION("""COMPUTED_VALUE"""),45791.6875)</f>
        <v>45791.6875</v>
      </c>
      <c r="C894" s="4">
        <f>IFERROR(__xludf.DUMMYFUNCTION("""COMPUTED_VALUE"""),4342.78)</f>
        <v>4342.78</v>
      </c>
      <c r="D894" s="4">
        <f t="shared" si="4"/>
        <v>-0.00131309949</v>
      </c>
      <c r="E894" s="2"/>
    </row>
    <row r="895">
      <c r="A895" s="1" t="s">
        <v>5</v>
      </c>
      <c r="B895" s="3">
        <f>IFERROR(__xludf.DUMMYFUNCTION("""COMPUTED_VALUE"""),45792.6875)</f>
        <v>45792.6875</v>
      </c>
      <c r="C895" s="4">
        <f>IFERROR(__xludf.DUMMYFUNCTION("""COMPUTED_VALUE"""),4378.96)</f>
        <v>4378.96</v>
      </c>
      <c r="D895" s="4">
        <f t="shared" si="4"/>
        <v>0.008331069039</v>
      </c>
      <c r="E895" s="2"/>
    </row>
    <row r="896">
      <c r="A896" s="1" t="s">
        <v>5</v>
      </c>
      <c r="B896" s="3">
        <f>IFERROR(__xludf.DUMMYFUNCTION("""COMPUTED_VALUE"""),45793.6875)</f>
        <v>45793.6875</v>
      </c>
      <c r="C896" s="4">
        <f>IFERROR(__xludf.DUMMYFUNCTION("""COMPUTED_VALUE"""),4403.71)</f>
        <v>4403.71</v>
      </c>
      <c r="D896" s="4">
        <f t="shared" si="4"/>
        <v>0.005652026965</v>
      </c>
      <c r="E896" s="2"/>
    </row>
    <row r="897">
      <c r="A897" s="1" t="s">
        <v>5</v>
      </c>
      <c r="B897" s="3">
        <f>IFERROR(__xludf.DUMMYFUNCTION("""COMPUTED_VALUE"""),45796.6875)</f>
        <v>45796.6875</v>
      </c>
      <c r="C897" s="4">
        <f>IFERROR(__xludf.DUMMYFUNCTION("""COMPUTED_VALUE"""),4429.42)</f>
        <v>4429.42</v>
      </c>
      <c r="D897" s="4">
        <f t="shared" si="4"/>
        <v>0.005838259104</v>
      </c>
      <c r="E897" s="2"/>
    </row>
    <row r="898">
      <c r="A898" s="1" t="s">
        <v>5</v>
      </c>
      <c r="B898" s="3">
        <f>IFERROR(__xludf.DUMMYFUNCTION("""COMPUTED_VALUE"""),45797.6875)</f>
        <v>45797.6875</v>
      </c>
      <c r="C898" s="4">
        <f>IFERROR(__xludf.DUMMYFUNCTION("""COMPUTED_VALUE"""),4491.31)</f>
        <v>4491.31</v>
      </c>
      <c r="D898" s="4">
        <f t="shared" si="4"/>
        <v>0.01397248398</v>
      </c>
      <c r="E898" s="2"/>
    </row>
    <row r="899">
      <c r="A899" s="1" t="s">
        <v>5</v>
      </c>
      <c r="B899" s="3">
        <f>IFERROR(__xludf.DUMMYFUNCTION("""COMPUTED_VALUE"""),45798.6875)</f>
        <v>45798.6875</v>
      </c>
      <c r="C899" s="4">
        <f>IFERROR(__xludf.DUMMYFUNCTION("""COMPUTED_VALUE"""),4509.4)</f>
        <v>4509.4</v>
      </c>
      <c r="D899" s="4">
        <f t="shared" si="4"/>
        <v>0.004027778087</v>
      </c>
      <c r="E899" s="2"/>
    </row>
    <row r="900">
      <c r="A900" s="1" t="s">
        <v>5</v>
      </c>
      <c r="B900" s="3">
        <f>IFERROR(__xludf.DUMMYFUNCTION("""COMPUTED_VALUE"""),45799.6875)</f>
        <v>45799.6875</v>
      </c>
      <c r="C900" s="4">
        <f>IFERROR(__xludf.DUMMYFUNCTION("""COMPUTED_VALUE"""),4486.55)</f>
        <v>4486.55</v>
      </c>
      <c r="D900" s="4">
        <f t="shared" si="4"/>
        <v>-0.005067192975</v>
      </c>
      <c r="E900" s="2"/>
    </row>
    <row r="901">
      <c r="A901" s="1" t="s">
        <v>5</v>
      </c>
      <c r="B901" s="3">
        <f>IFERROR(__xludf.DUMMYFUNCTION("""COMPUTED_VALUE"""),45800.6875)</f>
        <v>45800.6875</v>
      </c>
      <c r="C901" s="4">
        <f>IFERROR(__xludf.DUMMYFUNCTION("""COMPUTED_VALUE"""),4470.36)</f>
        <v>4470.36</v>
      </c>
      <c r="D901" s="4">
        <f t="shared" si="4"/>
        <v>-0.003608563373</v>
      </c>
      <c r="E901" s="2"/>
    </row>
    <row r="902">
      <c r="A902" s="1" t="s">
        <v>5</v>
      </c>
      <c r="B902" s="3">
        <f>IFERROR(__xludf.DUMMYFUNCTION("""COMPUTED_VALUE"""),45804.6875)</f>
        <v>45804.6875</v>
      </c>
      <c r="C902" s="4">
        <f>IFERROR(__xludf.DUMMYFUNCTION("""COMPUTED_VALUE"""),4485.6)</f>
        <v>4485.6</v>
      </c>
      <c r="D902" s="4">
        <f t="shared" si="4"/>
        <v>0.003409121413</v>
      </c>
      <c r="E902" s="2"/>
    </row>
    <row r="903">
      <c r="A903" s="1" t="s">
        <v>5</v>
      </c>
      <c r="B903" s="3">
        <f>IFERROR(__xludf.DUMMYFUNCTION("""COMPUTED_VALUE"""),45805.6875)</f>
        <v>45805.6875</v>
      </c>
      <c r="C903" s="4">
        <f>IFERROR(__xludf.DUMMYFUNCTION("""COMPUTED_VALUE"""),4457.03)</f>
        <v>4457.03</v>
      </c>
      <c r="D903" s="4">
        <f t="shared" si="4"/>
        <v>-0.006369270555</v>
      </c>
      <c r="E903" s="2"/>
    </row>
    <row r="904">
      <c r="A904" s="1" t="s">
        <v>5</v>
      </c>
      <c r="B904" s="3">
        <f>IFERROR(__xludf.DUMMYFUNCTION("""COMPUTED_VALUE"""),45806.6875)</f>
        <v>45806.6875</v>
      </c>
      <c r="C904" s="4">
        <f>IFERROR(__xludf.DUMMYFUNCTION("""COMPUTED_VALUE"""),4454.18)</f>
        <v>4454.18</v>
      </c>
      <c r="D904" s="4">
        <f t="shared" si="4"/>
        <v>-0.0006394392679</v>
      </c>
      <c r="E904" s="2"/>
    </row>
    <row r="905">
      <c r="A905" s="1" t="s">
        <v>5</v>
      </c>
      <c r="B905" s="3">
        <f>IFERROR(__xludf.DUMMYFUNCTION("""COMPUTED_VALUE"""),45807.6875)</f>
        <v>45807.6875</v>
      </c>
      <c r="C905" s="4">
        <f>IFERROR(__xludf.DUMMYFUNCTION("""COMPUTED_VALUE"""),4481.79)</f>
        <v>4481.79</v>
      </c>
      <c r="D905" s="4">
        <f t="shared" si="4"/>
        <v>0.006198671809</v>
      </c>
      <c r="E905" s="2"/>
    </row>
    <row r="906">
      <c r="A906" s="1" t="s">
        <v>5</v>
      </c>
      <c r="B906" s="3">
        <f>IFERROR(__xludf.DUMMYFUNCTION("""COMPUTED_VALUE"""),45810.6875)</f>
        <v>45810.6875</v>
      </c>
      <c r="C906" s="4">
        <f>IFERROR(__xludf.DUMMYFUNCTION("""COMPUTED_VALUE"""),4428.47)</f>
        <v>4428.47</v>
      </c>
      <c r="D906" s="4">
        <f t="shared" si="4"/>
        <v>-0.01189703221</v>
      </c>
      <c r="E906" s="2"/>
    </row>
    <row r="907">
      <c r="A907" s="1" t="s">
        <v>5</v>
      </c>
      <c r="B907" s="3">
        <f>IFERROR(__xludf.DUMMYFUNCTION("""COMPUTED_VALUE"""),45811.6875)</f>
        <v>45811.6875</v>
      </c>
      <c r="C907" s="4">
        <f>IFERROR(__xludf.DUMMYFUNCTION("""COMPUTED_VALUE"""),4410.38)</f>
        <v>4410.38</v>
      </c>
      <c r="D907" s="4">
        <f t="shared" si="4"/>
        <v>-0.004084932268</v>
      </c>
      <c r="E907" s="2"/>
    </row>
    <row r="908">
      <c r="A908" s="1" t="s">
        <v>5</v>
      </c>
      <c r="B908" s="3">
        <f>IFERROR(__xludf.DUMMYFUNCTION("""COMPUTED_VALUE"""),45812.6875)</f>
        <v>45812.6875</v>
      </c>
      <c r="C908" s="4">
        <f>IFERROR(__xludf.DUMMYFUNCTION("""COMPUTED_VALUE"""),4419.9)</f>
        <v>4419.9</v>
      </c>
      <c r="D908" s="4">
        <f t="shared" si="4"/>
        <v>0.002158544162</v>
      </c>
      <c r="E908" s="2"/>
    </row>
    <row r="909">
      <c r="A909" s="1" t="s">
        <v>5</v>
      </c>
      <c r="B909" s="3">
        <f>IFERROR(__xludf.DUMMYFUNCTION("""COMPUTED_VALUE"""),45813.6875)</f>
        <v>45813.6875</v>
      </c>
      <c r="C909" s="4">
        <f>IFERROR(__xludf.DUMMYFUNCTION("""COMPUTED_VALUE"""),4418.0)</f>
        <v>4418</v>
      </c>
      <c r="D909" s="4">
        <f t="shared" si="4"/>
        <v>-0.000429873979</v>
      </c>
      <c r="E909" s="2"/>
    </row>
    <row r="910">
      <c r="A910" s="1" t="s">
        <v>5</v>
      </c>
      <c r="B910" s="3">
        <f>IFERROR(__xludf.DUMMYFUNCTION("""COMPUTED_VALUE"""),45814.6875)</f>
        <v>45814.6875</v>
      </c>
      <c r="C910" s="4">
        <f>IFERROR(__xludf.DUMMYFUNCTION("""COMPUTED_VALUE"""),4419.9)</f>
        <v>4419.9</v>
      </c>
      <c r="D910" s="4">
        <f t="shared" si="4"/>
        <v>0.0004300588502</v>
      </c>
      <c r="E910" s="2"/>
    </row>
    <row r="911">
      <c r="A911" s="1" t="s">
        <v>5</v>
      </c>
      <c r="B911" s="3">
        <f>IFERROR(__xludf.DUMMYFUNCTION("""COMPUTED_VALUE"""),45817.6875)</f>
        <v>45817.6875</v>
      </c>
      <c r="C911" s="4">
        <f>IFERROR(__xludf.DUMMYFUNCTION("""COMPUTED_VALUE"""),4398.95)</f>
        <v>4398.95</v>
      </c>
      <c r="D911" s="4">
        <f t="shared" si="4"/>
        <v>-0.004739926243</v>
      </c>
      <c r="E911" s="2"/>
    </row>
    <row r="912">
      <c r="A912" s="1" t="s">
        <v>5</v>
      </c>
      <c r="B912" s="3">
        <f>IFERROR(__xludf.DUMMYFUNCTION("""COMPUTED_VALUE"""),45818.6875)</f>
        <v>45818.6875</v>
      </c>
      <c r="C912" s="4">
        <f>IFERROR(__xludf.DUMMYFUNCTION("""COMPUTED_VALUE"""),4433.23)</f>
        <v>4433.23</v>
      </c>
      <c r="D912" s="4">
        <f t="shared" si="4"/>
        <v>0.007792768729</v>
      </c>
      <c r="E912" s="2"/>
    </row>
    <row r="913">
      <c r="A913" s="1" t="s">
        <v>5</v>
      </c>
      <c r="B913" s="3">
        <f>IFERROR(__xludf.DUMMYFUNCTION("""COMPUTED_VALUE"""),45819.6875)</f>
        <v>45819.6875</v>
      </c>
      <c r="C913" s="4">
        <f>IFERROR(__xludf.DUMMYFUNCTION("""COMPUTED_VALUE"""),4415.14)</f>
        <v>4415.14</v>
      </c>
      <c r="D913" s="4">
        <f t="shared" si="4"/>
        <v>-0.004080546238</v>
      </c>
      <c r="E913" s="2"/>
    </row>
    <row r="914">
      <c r="A914" s="1" t="s">
        <v>5</v>
      </c>
      <c r="B914" s="3">
        <f>IFERROR(__xludf.DUMMYFUNCTION("""COMPUTED_VALUE"""),45820.6875)</f>
        <v>45820.6875</v>
      </c>
      <c r="C914" s="4">
        <f>IFERROR(__xludf.DUMMYFUNCTION("""COMPUTED_VALUE"""),4430.37)</f>
        <v>4430.37</v>
      </c>
      <c r="D914" s="4">
        <f t="shared" si="4"/>
        <v>0.00344949424</v>
      </c>
      <c r="E914" s="2"/>
    </row>
    <row r="915">
      <c r="A915" s="1" t="s">
        <v>5</v>
      </c>
      <c r="B915" s="3">
        <f>IFERROR(__xludf.DUMMYFUNCTION("""COMPUTED_VALUE"""),45821.6875)</f>
        <v>45821.6875</v>
      </c>
      <c r="C915" s="4">
        <f>IFERROR(__xludf.DUMMYFUNCTION("""COMPUTED_VALUE"""),4413.24)</f>
        <v>4413.24</v>
      </c>
      <c r="D915" s="4">
        <f t="shared" si="4"/>
        <v>-0.003866494221</v>
      </c>
      <c r="E915" s="2"/>
    </row>
    <row r="916">
      <c r="A916" s="1" t="s">
        <v>5</v>
      </c>
      <c r="B916" s="3">
        <f>IFERROR(__xludf.DUMMYFUNCTION("""COMPUTED_VALUE"""),45824.6875)</f>
        <v>45824.6875</v>
      </c>
      <c r="C916" s="4">
        <f>IFERROR(__xludf.DUMMYFUNCTION("""COMPUTED_VALUE"""),4410.38)</f>
        <v>4410.38</v>
      </c>
      <c r="D916" s="4">
        <f t="shared" si="4"/>
        <v>-0.0006480499588</v>
      </c>
      <c r="E916" s="2"/>
    </row>
    <row r="917">
      <c r="A917" s="1" t="s">
        <v>5</v>
      </c>
      <c r="B917" s="3">
        <f>IFERROR(__xludf.DUMMYFUNCTION("""COMPUTED_VALUE"""),45825.6875)</f>
        <v>45825.6875</v>
      </c>
      <c r="C917" s="4">
        <f>IFERROR(__xludf.DUMMYFUNCTION("""COMPUTED_VALUE"""),4397.05)</f>
        <v>4397.05</v>
      </c>
      <c r="D917" s="4">
        <f t="shared" si="4"/>
        <v>-0.003022415302</v>
      </c>
      <c r="E917" s="2"/>
    </row>
    <row r="918">
      <c r="A918" s="1" t="s">
        <v>5</v>
      </c>
      <c r="B918" s="3">
        <f>IFERROR(__xludf.DUMMYFUNCTION("""COMPUTED_VALUE"""),45826.6875)</f>
        <v>45826.6875</v>
      </c>
      <c r="C918" s="4">
        <f>IFERROR(__xludf.DUMMYFUNCTION("""COMPUTED_VALUE"""),4397.05)</f>
        <v>4397.05</v>
      </c>
      <c r="D918" s="4">
        <f t="shared" si="4"/>
        <v>0</v>
      </c>
      <c r="E918" s="2"/>
    </row>
    <row r="919">
      <c r="A919" s="1" t="s">
        <v>5</v>
      </c>
      <c r="B919" s="3">
        <f>IFERROR(__xludf.DUMMYFUNCTION("""COMPUTED_VALUE"""),45827.6875)</f>
        <v>45827.6875</v>
      </c>
      <c r="C919" s="4">
        <f>IFERROR(__xludf.DUMMYFUNCTION("""COMPUTED_VALUE"""),4358.01)</f>
        <v>4358.01</v>
      </c>
      <c r="D919" s="4">
        <f t="shared" si="4"/>
        <v>-0.008878680024</v>
      </c>
      <c r="E919" s="2"/>
    </row>
    <row r="920">
      <c r="A920" s="1" t="s">
        <v>5</v>
      </c>
      <c r="B920" s="3">
        <f>IFERROR(__xludf.DUMMYFUNCTION("""COMPUTED_VALUE"""),45828.6875)</f>
        <v>45828.6875</v>
      </c>
      <c r="C920" s="4">
        <f>IFERROR(__xludf.DUMMYFUNCTION("""COMPUTED_VALUE"""),4344.68)</f>
        <v>4344.68</v>
      </c>
      <c r="D920" s="4">
        <f t="shared" si="4"/>
        <v>-0.003058735524</v>
      </c>
      <c r="E920" s="2"/>
    </row>
    <row r="921">
      <c r="A921" s="1" t="s">
        <v>5</v>
      </c>
      <c r="B921" s="3">
        <f>IFERROR(__xludf.DUMMYFUNCTION("""COMPUTED_VALUE"""),45831.6875)</f>
        <v>45831.6875</v>
      </c>
      <c r="C921" s="4">
        <f>IFERROR(__xludf.DUMMYFUNCTION("""COMPUTED_VALUE"""),4358.96)</f>
        <v>4358.96</v>
      </c>
      <c r="D921" s="4">
        <f t="shared" si="4"/>
        <v>0.003286778313</v>
      </c>
      <c r="E921" s="2"/>
    </row>
    <row r="922">
      <c r="A922" s="1" t="s">
        <v>5</v>
      </c>
      <c r="B922" s="3">
        <f>IFERROR(__xludf.DUMMYFUNCTION("""COMPUTED_VALUE"""),45832.6875)</f>
        <v>45832.6875</v>
      </c>
      <c r="C922" s="4">
        <f>IFERROR(__xludf.DUMMYFUNCTION("""COMPUTED_VALUE"""),4351.35)</f>
        <v>4351.35</v>
      </c>
      <c r="D922" s="4">
        <f t="shared" si="4"/>
        <v>-0.00174582928</v>
      </c>
      <c r="E922" s="2"/>
    </row>
    <row r="923">
      <c r="A923" s="1" t="s">
        <v>5</v>
      </c>
      <c r="B923" s="3">
        <f>IFERROR(__xludf.DUMMYFUNCTION("""COMPUTED_VALUE"""),45833.6875)</f>
        <v>45833.6875</v>
      </c>
      <c r="C923" s="4">
        <f>IFERROR(__xludf.DUMMYFUNCTION("""COMPUTED_VALUE"""),4286.6)</f>
        <v>4286.6</v>
      </c>
      <c r="D923" s="4">
        <f t="shared" si="4"/>
        <v>-0.0148804394</v>
      </c>
      <c r="E923" s="2"/>
    </row>
    <row r="924">
      <c r="A924" s="1" t="s">
        <v>5</v>
      </c>
      <c r="B924" s="3">
        <f>IFERROR(__xludf.DUMMYFUNCTION("""COMPUTED_VALUE"""),45834.6875)</f>
        <v>45834.6875</v>
      </c>
      <c r="C924" s="4">
        <f>IFERROR(__xludf.DUMMYFUNCTION("""COMPUTED_VALUE"""),4178.05)</f>
        <v>4178.05</v>
      </c>
      <c r="D924" s="4">
        <f t="shared" si="4"/>
        <v>-0.02532309989</v>
      </c>
      <c r="E924" s="2"/>
    </row>
    <row r="925">
      <c r="A925" s="1" t="s">
        <v>5</v>
      </c>
      <c r="B925" s="3">
        <f>IFERROR(__xludf.DUMMYFUNCTION("""COMPUTED_VALUE"""),45835.6875)</f>
        <v>45835.6875</v>
      </c>
      <c r="C925" s="4">
        <f>IFERROR(__xludf.DUMMYFUNCTION("""COMPUTED_VALUE"""),4219.95)</f>
        <v>4219.95</v>
      </c>
      <c r="D925" s="4">
        <f t="shared" si="4"/>
        <v>0.01002860186</v>
      </c>
      <c r="E925" s="2"/>
    </row>
    <row r="926">
      <c r="A926" s="1" t="s">
        <v>5</v>
      </c>
      <c r="B926" s="3">
        <f>IFERROR(__xludf.DUMMYFUNCTION("""COMPUTED_VALUE"""),45838.6875)</f>
        <v>45838.6875</v>
      </c>
      <c r="C926" s="4">
        <f>IFERROR(__xludf.DUMMYFUNCTION("""COMPUTED_VALUE"""),4213.28)</f>
        <v>4213.28</v>
      </c>
      <c r="D926" s="4">
        <f t="shared" si="4"/>
        <v>-0.001580587448</v>
      </c>
      <c r="E926" s="2"/>
    </row>
    <row r="927">
      <c r="A927" s="1" t="s">
        <v>5</v>
      </c>
      <c r="B927" s="3">
        <f>IFERROR(__xludf.DUMMYFUNCTION("""COMPUTED_VALUE"""),45839.6875)</f>
        <v>45839.6875</v>
      </c>
      <c r="C927" s="4">
        <f>IFERROR(__xludf.DUMMYFUNCTION("""COMPUTED_VALUE"""),4265.65)</f>
        <v>4265.65</v>
      </c>
      <c r="D927" s="4">
        <f t="shared" si="4"/>
        <v>0.01242974595</v>
      </c>
      <c r="E927" s="2"/>
    </row>
    <row r="928">
      <c r="A928" s="1" t="s">
        <v>5</v>
      </c>
      <c r="B928" s="3">
        <f>IFERROR(__xludf.DUMMYFUNCTION("""COMPUTED_VALUE"""),45840.6875)</f>
        <v>45840.6875</v>
      </c>
      <c r="C928" s="4">
        <f>IFERROR(__xludf.DUMMYFUNCTION("""COMPUTED_VALUE"""),4271.36)</f>
        <v>4271.36</v>
      </c>
      <c r="D928" s="4">
        <f t="shared" si="4"/>
        <v>0.001338600213</v>
      </c>
      <c r="E928" s="2"/>
    </row>
    <row r="929">
      <c r="A929" s="1" t="s">
        <v>5</v>
      </c>
      <c r="B929" s="3">
        <f>IFERROR(__xludf.DUMMYFUNCTION("""COMPUTED_VALUE"""),45841.6875)</f>
        <v>45841.6875</v>
      </c>
      <c r="C929" s="4">
        <f>IFERROR(__xludf.DUMMYFUNCTION("""COMPUTED_VALUE"""),4273.27)</f>
        <v>4273.27</v>
      </c>
      <c r="D929" s="4">
        <f t="shared" si="4"/>
        <v>0.0004471643692</v>
      </c>
      <c r="E929" s="2"/>
    </row>
    <row r="930">
      <c r="A930" s="1" t="s">
        <v>5</v>
      </c>
      <c r="B930" s="3">
        <f>IFERROR(__xludf.DUMMYFUNCTION("""COMPUTED_VALUE"""),45842.6875)</f>
        <v>45842.6875</v>
      </c>
      <c r="C930" s="4">
        <f>IFERROR(__xludf.DUMMYFUNCTION("""COMPUTED_VALUE"""),4289.46)</f>
        <v>4289.46</v>
      </c>
      <c r="D930" s="4">
        <f t="shared" si="4"/>
        <v>0.003788667695</v>
      </c>
      <c r="E930" s="2"/>
    </row>
    <row r="931">
      <c r="A931" s="1" t="s">
        <v>5</v>
      </c>
      <c r="B931" s="3">
        <f>IFERROR(__xludf.DUMMYFUNCTION("""COMPUTED_VALUE"""),45845.6875)</f>
        <v>45845.6875</v>
      </c>
      <c r="C931" s="4">
        <f>IFERROR(__xludf.DUMMYFUNCTION("""COMPUTED_VALUE"""),4280.89)</f>
        <v>4280.89</v>
      </c>
      <c r="D931" s="4">
        <f t="shared" si="4"/>
        <v>-0.001997920484</v>
      </c>
      <c r="E931" s="2"/>
    </row>
    <row r="932">
      <c r="A932" s="1" t="s">
        <v>5</v>
      </c>
      <c r="B932" s="3">
        <f>IFERROR(__xludf.DUMMYFUNCTION("""COMPUTED_VALUE"""),45846.6875)</f>
        <v>45846.6875</v>
      </c>
      <c r="C932" s="4">
        <f>IFERROR(__xludf.DUMMYFUNCTION("""COMPUTED_VALUE"""),4270.41)</f>
        <v>4270.41</v>
      </c>
      <c r="D932" s="4">
        <f t="shared" si="4"/>
        <v>-0.002448089066</v>
      </c>
      <c r="E932" s="2"/>
    </row>
    <row r="933">
      <c r="A933" s="1" t="s">
        <v>5</v>
      </c>
      <c r="B933" s="3">
        <f>IFERROR(__xludf.DUMMYFUNCTION("""COMPUTED_VALUE"""),45847.6875)</f>
        <v>45847.6875</v>
      </c>
      <c r="C933" s="4">
        <f>IFERROR(__xludf.DUMMYFUNCTION("""COMPUTED_VALUE"""),4232.33)</f>
        <v>4232.33</v>
      </c>
      <c r="D933" s="4">
        <f t="shared" si="4"/>
        <v>-0.008917176571</v>
      </c>
      <c r="E933" s="2"/>
    </row>
    <row r="934">
      <c r="A934" s="1" t="s">
        <v>5</v>
      </c>
      <c r="B934" s="3">
        <f>IFERROR(__xludf.DUMMYFUNCTION("""COMPUTED_VALUE"""),45848.6875)</f>
        <v>45848.6875</v>
      </c>
      <c r="C934" s="4">
        <f>IFERROR(__xludf.DUMMYFUNCTION("""COMPUTED_VALUE"""),4311.36)</f>
        <v>4311.36</v>
      </c>
      <c r="D934" s="4">
        <f t="shared" si="4"/>
        <v>0.01867292957</v>
      </c>
      <c r="E934" s="2"/>
    </row>
    <row r="935">
      <c r="A935" s="1" t="s">
        <v>5</v>
      </c>
      <c r="B935" s="3">
        <f>IFERROR(__xludf.DUMMYFUNCTION("""COMPUTED_VALUE"""),45849.6875)</f>
        <v>45849.6875</v>
      </c>
      <c r="C935" s="4">
        <f>IFERROR(__xludf.DUMMYFUNCTION("""COMPUTED_VALUE"""),4267.56)</f>
        <v>4267.56</v>
      </c>
      <c r="D935" s="4">
        <f t="shared" si="4"/>
        <v>-0.0101592073</v>
      </c>
      <c r="E935" s="2"/>
    </row>
    <row r="936">
      <c r="A936" s="1" t="s">
        <v>5</v>
      </c>
      <c r="B936" s="3">
        <f>IFERROR(__xludf.DUMMYFUNCTION("""COMPUTED_VALUE"""),45852.6875)</f>
        <v>45852.6875</v>
      </c>
      <c r="C936" s="4">
        <f>IFERROR(__xludf.DUMMYFUNCTION("""COMPUTED_VALUE"""),4324.69)</f>
        <v>4324.69</v>
      </c>
      <c r="D936" s="4">
        <f t="shared" si="4"/>
        <v>0.01338704084</v>
      </c>
      <c r="E936" s="2"/>
    </row>
    <row r="937">
      <c r="A937" s="1" t="s">
        <v>5</v>
      </c>
      <c r="B937" s="3">
        <f>IFERROR(__xludf.DUMMYFUNCTION("""COMPUTED_VALUE"""),45853.6875)</f>
        <v>45853.6875</v>
      </c>
      <c r="C937" s="4">
        <f>IFERROR(__xludf.DUMMYFUNCTION("""COMPUTED_VALUE"""),4254.23)</f>
        <v>4254.23</v>
      </c>
      <c r="D937" s="4">
        <f t="shared" si="4"/>
        <v>-0.01629249727</v>
      </c>
      <c r="E937" s="2"/>
    </row>
    <row r="938">
      <c r="A938" s="1" t="s">
        <v>5</v>
      </c>
      <c r="B938" s="3">
        <f>IFERROR(__xludf.DUMMYFUNCTION("""COMPUTED_VALUE"""),45854.6875)</f>
        <v>45854.6875</v>
      </c>
      <c r="C938" s="4">
        <f>IFERROR(__xludf.DUMMYFUNCTION("""COMPUTED_VALUE"""),4241.85)</f>
        <v>4241.85</v>
      </c>
      <c r="D938" s="4">
        <f t="shared" si="4"/>
        <v>-0.002910044826</v>
      </c>
      <c r="E938" s="2"/>
    </row>
    <row r="939">
      <c r="A939" s="1" t="s">
        <v>5</v>
      </c>
      <c r="B939" s="3">
        <f>IFERROR(__xludf.DUMMYFUNCTION("""COMPUTED_VALUE"""),45855.6875)</f>
        <v>45855.6875</v>
      </c>
      <c r="C939" s="4">
        <f>IFERROR(__xludf.DUMMYFUNCTION("""COMPUTED_VALUE"""),4219.95)</f>
        <v>4219.95</v>
      </c>
      <c r="D939" s="4">
        <f t="shared" si="4"/>
        <v>-0.005162841685</v>
      </c>
      <c r="E939" s="2"/>
    </row>
    <row r="940">
      <c r="A940" s="1" t="s">
        <v>5</v>
      </c>
      <c r="B940" s="3">
        <f>IFERROR(__xludf.DUMMYFUNCTION("""COMPUTED_VALUE"""),45856.6875)</f>
        <v>45856.6875</v>
      </c>
      <c r="C940" s="4">
        <f>IFERROR(__xludf.DUMMYFUNCTION("""COMPUTED_VALUE"""),4227.57)</f>
        <v>4227.57</v>
      </c>
      <c r="D940" s="4">
        <f t="shared" si="4"/>
        <v>0.001805708598</v>
      </c>
      <c r="E940" s="2"/>
    </row>
    <row r="941">
      <c r="A941" s="1" t="s">
        <v>5</v>
      </c>
      <c r="B941" s="3">
        <f>IFERROR(__xludf.DUMMYFUNCTION("""COMPUTED_VALUE"""),45859.6875)</f>
        <v>45859.6875</v>
      </c>
      <c r="C941" s="4">
        <f>IFERROR(__xludf.DUMMYFUNCTION("""COMPUTED_VALUE"""),4210.43)</f>
        <v>4210.43</v>
      </c>
      <c r="D941" s="4">
        <f t="shared" si="4"/>
        <v>-0.004054338544</v>
      </c>
      <c r="E941" s="2"/>
    </row>
    <row r="942">
      <c r="A942" s="1" t="s">
        <v>5</v>
      </c>
      <c r="B942" s="3">
        <f>IFERROR(__xludf.DUMMYFUNCTION("""COMPUTED_VALUE"""),45860.6875)</f>
        <v>45860.6875</v>
      </c>
      <c r="C942" s="4">
        <f>IFERROR(__xludf.DUMMYFUNCTION("""COMPUTED_VALUE"""),4235.18)</f>
        <v>4235.18</v>
      </c>
      <c r="D942" s="4">
        <f t="shared" si="4"/>
        <v>0.005878259465</v>
      </c>
      <c r="E942" s="2"/>
    </row>
    <row r="943">
      <c r="A943" s="1" t="s">
        <v>5</v>
      </c>
      <c r="B943" s="3">
        <f>IFERROR(__xludf.DUMMYFUNCTION("""COMPUTED_VALUE"""),45861.6875)</f>
        <v>45861.6875</v>
      </c>
      <c r="C943" s="4">
        <f>IFERROR(__xludf.DUMMYFUNCTION("""COMPUTED_VALUE"""),4232.33)</f>
        <v>4232.33</v>
      </c>
      <c r="D943" s="4">
        <f t="shared" si="4"/>
        <v>-0.0006729347985</v>
      </c>
      <c r="E943" s="2"/>
    </row>
    <row r="944">
      <c r="A944" s="1" t="s">
        <v>5</v>
      </c>
      <c r="B944" s="3">
        <f>IFERROR(__xludf.DUMMYFUNCTION("""COMPUTED_VALUE"""),45862.6875)</f>
        <v>45862.6875</v>
      </c>
      <c r="C944" s="4">
        <f>IFERROR(__xludf.DUMMYFUNCTION("""COMPUTED_VALUE"""),4280.89)</f>
        <v>4280.89</v>
      </c>
      <c r="D944" s="4">
        <f t="shared" si="4"/>
        <v>0.01147358547</v>
      </c>
      <c r="E944" s="2"/>
    </row>
    <row r="945">
      <c r="A945" s="1" t="s">
        <v>5</v>
      </c>
      <c r="B945" s="3">
        <f>IFERROR(__xludf.DUMMYFUNCTION("""COMPUTED_VALUE"""),45863.6875)</f>
        <v>45863.6875</v>
      </c>
      <c r="C945" s="4">
        <f>IFERROR(__xludf.DUMMYFUNCTION("""COMPUTED_VALUE"""),4252.32)</f>
        <v>4252.32</v>
      </c>
      <c r="D945" s="4">
        <f t="shared" si="4"/>
        <v>-0.006673845859</v>
      </c>
      <c r="E945" s="2"/>
    </row>
    <row r="946">
      <c r="A946" s="1" t="s">
        <v>5</v>
      </c>
      <c r="B946" s="3">
        <f>IFERROR(__xludf.DUMMYFUNCTION("""COMPUTED_VALUE"""),45866.6875)</f>
        <v>45866.6875</v>
      </c>
      <c r="C946" s="4">
        <f>IFERROR(__xludf.DUMMYFUNCTION("""COMPUTED_VALUE"""),4216.14)</f>
        <v>4216.14</v>
      </c>
      <c r="D946" s="4">
        <f t="shared" si="4"/>
        <v>-0.008508296647</v>
      </c>
      <c r="E946" s="2"/>
    </row>
    <row r="947">
      <c r="A947" s="1" t="s">
        <v>5</v>
      </c>
      <c r="B947" s="3">
        <f>IFERROR(__xludf.DUMMYFUNCTION("""COMPUTED_VALUE"""),45867.6875)</f>
        <v>45867.6875</v>
      </c>
      <c r="C947" s="4">
        <f>IFERROR(__xludf.DUMMYFUNCTION("""COMPUTED_VALUE"""),4219.95)</f>
        <v>4219.95</v>
      </c>
      <c r="D947" s="4">
        <f t="shared" si="4"/>
        <v>0.0009036701817</v>
      </c>
      <c r="E947" s="2"/>
    </row>
    <row r="948">
      <c r="A948" s="1" t="s">
        <v>5</v>
      </c>
      <c r="B948" s="3">
        <f>IFERROR(__xludf.DUMMYFUNCTION("""COMPUTED_VALUE"""),45868.6875)</f>
        <v>45868.6875</v>
      </c>
      <c r="C948" s="4">
        <f>IFERROR(__xludf.DUMMYFUNCTION("""COMPUTED_VALUE"""),4244.7)</f>
        <v>4244.7</v>
      </c>
      <c r="D948" s="4">
        <f t="shared" si="4"/>
        <v>0.0058649984</v>
      </c>
      <c r="E948" s="2"/>
    </row>
    <row r="949">
      <c r="A949" s="1" t="s">
        <v>5</v>
      </c>
      <c r="B949" s="3">
        <f>IFERROR(__xludf.DUMMYFUNCTION("""COMPUTED_VALUE"""),45869.6875)</f>
        <v>45869.6875</v>
      </c>
      <c r="C949" s="4">
        <f>IFERROR(__xludf.DUMMYFUNCTION("""COMPUTED_VALUE"""),4197.1)</f>
        <v>4197.1</v>
      </c>
      <c r="D949" s="4">
        <f t="shared" si="4"/>
        <v>-0.0112139845</v>
      </c>
      <c r="E949" s="2"/>
    </row>
    <row r="950">
      <c r="A950" s="1" t="s">
        <v>5</v>
      </c>
      <c r="B950" s="3">
        <f>IFERROR(__xludf.DUMMYFUNCTION("""COMPUTED_VALUE"""),45870.6875)</f>
        <v>45870.6875</v>
      </c>
      <c r="C950" s="4">
        <f>IFERROR(__xludf.DUMMYFUNCTION("""COMPUTED_VALUE"""),4314.21)</f>
        <v>4314.21</v>
      </c>
      <c r="D950" s="4">
        <f t="shared" si="4"/>
        <v>0.02790259941</v>
      </c>
      <c r="E950" s="2"/>
    </row>
    <row r="951">
      <c r="A951" s="1" t="s">
        <v>5</v>
      </c>
      <c r="B951" s="3">
        <f>IFERROR(__xludf.DUMMYFUNCTION("""COMPUTED_VALUE"""),45873.6875)</f>
        <v>45873.6875</v>
      </c>
      <c r="C951" s="4">
        <f>IFERROR(__xludf.DUMMYFUNCTION("""COMPUTED_VALUE"""),4280.89)</f>
        <v>4280.89</v>
      </c>
      <c r="D951" s="4">
        <f t="shared" si="4"/>
        <v>-0.00772331435</v>
      </c>
      <c r="E951" s="2"/>
    </row>
    <row r="952">
      <c r="A952" s="1" t="s">
        <v>5</v>
      </c>
      <c r="B952" s="3">
        <f>IFERROR(__xludf.DUMMYFUNCTION("""COMPUTED_VALUE"""),45874.6875)</f>
        <v>45874.6875</v>
      </c>
      <c r="C952" s="4">
        <f>IFERROR(__xludf.DUMMYFUNCTION("""COMPUTED_VALUE"""),4291.36)</f>
        <v>4291.36</v>
      </c>
      <c r="D952" s="4">
        <f t="shared" si="4"/>
        <v>0.002445753103</v>
      </c>
      <c r="E952" s="2"/>
    </row>
    <row r="953">
      <c r="A953" s="1" t="s">
        <v>5</v>
      </c>
      <c r="B953" s="3">
        <f>IFERROR(__xludf.DUMMYFUNCTION("""COMPUTED_VALUE"""),45875.6875)</f>
        <v>45875.6875</v>
      </c>
      <c r="C953" s="4">
        <f>IFERROR(__xludf.DUMMYFUNCTION("""COMPUTED_VALUE"""),4298.98)</f>
        <v>4298.98</v>
      </c>
      <c r="D953" s="4">
        <f t="shared" si="4"/>
        <v>0.001775660863</v>
      </c>
      <c r="E953" s="2"/>
    </row>
    <row r="954">
      <c r="A954" s="1" t="s">
        <v>5</v>
      </c>
      <c r="B954" s="3">
        <f>IFERROR(__xludf.DUMMYFUNCTION("""COMPUTED_VALUE"""),45876.6875)</f>
        <v>45876.6875</v>
      </c>
      <c r="C954" s="4">
        <f>IFERROR(__xludf.DUMMYFUNCTION("""COMPUTED_VALUE"""),4307.55)</f>
        <v>4307.55</v>
      </c>
      <c r="D954" s="4">
        <f t="shared" si="4"/>
        <v>0.001993496132</v>
      </c>
      <c r="E954" s="2"/>
    </row>
    <row r="955">
      <c r="A955" s="1" t="s">
        <v>5</v>
      </c>
      <c r="B955" s="3">
        <f>IFERROR(__xludf.DUMMYFUNCTION("""COMPUTED_VALUE"""),45877.6875)</f>
        <v>45877.6875</v>
      </c>
      <c r="C955" s="4">
        <f>IFERROR(__xludf.DUMMYFUNCTION("""COMPUTED_VALUE"""),4285.65)</f>
        <v>4285.65</v>
      </c>
      <c r="D955" s="4">
        <f t="shared" si="4"/>
        <v>-0.005084096528</v>
      </c>
      <c r="E955" s="2"/>
    </row>
    <row r="956">
      <c r="A956" s="1" t="s">
        <v>5</v>
      </c>
      <c r="B956" s="3">
        <f>IFERROR(__xludf.DUMMYFUNCTION("""COMPUTED_VALUE"""),45880.6875)</f>
        <v>45880.6875</v>
      </c>
      <c r="C956" s="4">
        <f>IFERROR(__xludf.DUMMYFUNCTION("""COMPUTED_VALUE"""),4290.41)</f>
        <v>4290.41</v>
      </c>
      <c r="D956" s="4">
        <f t="shared" si="4"/>
        <v>0.001110683327</v>
      </c>
      <c r="E956" s="2"/>
    </row>
    <row r="957">
      <c r="A957" s="1" t="s">
        <v>5</v>
      </c>
      <c r="B957" s="3">
        <f>IFERROR(__xludf.DUMMYFUNCTION("""COMPUTED_VALUE"""),45881.6875)</f>
        <v>45881.6875</v>
      </c>
      <c r="C957" s="4">
        <f>IFERROR(__xludf.DUMMYFUNCTION("""COMPUTED_VALUE"""),4275.17)</f>
        <v>4275.17</v>
      </c>
      <c r="D957" s="4">
        <f t="shared" si="4"/>
        <v>-0.003552108074</v>
      </c>
      <c r="E957" s="2"/>
    </row>
    <row r="958">
      <c r="A958" s="1" t="s">
        <v>5</v>
      </c>
      <c r="B958" s="3">
        <f>IFERROR(__xludf.DUMMYFUNCTION("""COMPUTED_VALUE"""),45882.6875)</f>
        <v>45882.6875</v>
      </c>
      <c r="C958" s="4">
        <f>IFERROR(__xludf.DUMMYFUNCTION("""COMPUTED_VALUE"""),4351.35)</f>
        <v>4351.35</v>
      </c>
      <c r="D958" s="4">
        <f t="shared" si="4"/>
        <v>0.01781917444</v>
      </c>
      <c r="E958" s="2"/>
    </row>
    <row r="959">
      <c r="A959" s="1" t="s">
        <v>5</v>
      </c>
      <c r="B959" s="3">
        <f>IFERROR(__xludf.DUMMYFUNCTION("""COMPUTED_VALUE"""),45883.6875)</f>
        <v>45883.6875</v>
      </c>
      <c r="C959" s="4">
        <f>IFERROR(__xludf.DUMMYFUNCTION("""COMPUTED_VALUE"""),4298.98)</f>
        <v>4298.98</v>
      </c>
      <c r="D959" s="4">
        <f t="shared" si="4"/>
        <v>-0.01203534535</v>
      </c>
      <c r="E959" s="2"/>
    </row>
    <row r="960">
      <c r="A960" s="1" t="s">
        <v>5</v>
      </c>
      <c r="B960" s="3">
        <f>IFERROR(__xludf.DUMMYFUNCTION("""COMPUTED_VALUE"""),45884.6875)</f>
        <v>45884.6875</v>
      </c>
      <c r="C960" s="4">
        <f>IFERROR(__xludf.DUMMYFUNCTION("""COMPUTED_VALUE"""),4269.46)</f>
        <v>4269.46</v>
      </c>
      <c r="D960" s="4">
        <f t="shared" si="4"/>
        <v>-0.006866745135</v>
      </c>
      <c r="E960" s="2"/>
    </row>
    <row r="961">
      <c r="A961" s="1" t="s">
        <v>5</v>
      </c>
      <c r="B961" s="3">
        <f>IFERROR(__xludf.DUMMYFUNCTION("""COMPUTED_VALUE"""),45887.6875)</f>
        <v>45887.6875</v>
      </c>
      <c r="C961" s="4">
        <f>IFERROR(__xludf.DUMMYFUNCTION("""COMPUTED_VALUE"""),4298.98)</f>
        <v>4298.98</v>
      </c>
      <c r="D961" s="4">
        <f t="shared" si="4"/>
        <v>0.006914223344</v>
      </c>
      <c r="E961" s="2"/>
    </row>
    <row r="962">
      <c r="A962" s="1" t="s">
        <v>5</v>
      </c>
      <c r="B962" s="3">
        <f>IFERROR(__xludf.DUMMYFUNCTION("""COMPUTED_VALUE"""),45888.6875)</f>
        <v>45888.6875</v>
      </c>
      <c r="C962" s="4">
        <f>IFERROR(__xludf.DUMMYFUNCTION("""COMPUTED_VALUE"""),4326.59)</f>
        <v>4326.59</v>
      </c>
      <c r="D962" s="4">
        <f t="shared" si="4"/>
        <v>0.006422453698</v>
      </c>
      <c r="E962" s="2"/>
    </row>
    <row r="963">
      <c r="A963" s="1" t="s">
        <v>5</v>
      </c>
      <c r="B963" s="3">
        <f>IFERROR(__xludf.DUMMYFUNCTION("""COMPUTED_VALUE"""),45889.6875)</f>
        <v>45889.6875</v>
      </c>
      <c r="C963" s="4">
        <f>IFERROR(__xludf.DUMMYFUNCTION("""COMPUTED_VALUE"""),4467.51)</f>
        <v>4467.51</v>
      </c>
      <c r="D963" s="4">
        <f t="shared" si="4"/>
        <v>0.032570685</v>
      </c>
      <c r="E963" s="2"/>
    </row>
    <row r="964">
      <c r="A964" s="1" t="s">
        <v>5</v>
      </c>
      <c r="B964" s="3">
        <f>IFERROR(__xludf.DUMMYFUNCTION("""COMPUTED_VALUE"""),45890.6875)</f>
        <v>45890.6875</v>
      </c>
      <c r="C964" s="4">
        <f>IFERROR(__xludf.DUMMYFUNCTION("""COMPUTED_VALUE"""),4469.41)</f>
        <v>4469.41</v>
      </c>
      <c r="D964" s="4">
        <f t="shared" si="4"/>
        <v>0.0004252928365</v>
      </c>
      <c r="E964" s="2"/>
    </row>
    <row r="965">
      <c r="A965" s="1" t="s">
        <v>5</v>
      </c>
      <c r="B965" s="3">
        <f>IFERROR(__xludf.DUMMYFUNCTION("""COMPUTED_VALUE"""),45891.6875)</f>
        <v>45891.6875</v>
      </c>
      <c r="C965" s="4">
        <f>IFERROR(__xludf.DUMMYFUNCTION("""COMPUTED_VALUE"""),4438.94)</f>
        <v>4438.94</v>
      </c>
      <c r="D965" s="4">
        <f t="shared" si="4"/>
        <v>-0.006817454653</v>
      </c>
      <c r="E965" s="2"/>
    </row>
    <row r="966">
      <c r="A966" s="1" t="s">
        <v>5</v>
      </c>
      <c r="B966" s="3">
        <f>IFERROR(__xludf.DUMMYFUNCTION("""COMPUTED_VALUE"""),45895.6875)</f>
        <v>45895.6875</v>
      </c>
      <c r="C966" s="4">
        <f>IFERROR(__xludf.DUMMYFUNCTION("""COMPUTED_VALUE"""),4374.2)</f>
        <v>4374.2</v>
      </c>
      <c r="D966" s="4">
        <f t="shared" si="4"/>
        <v>-0.01458456298</v>
      </c>
      <c r="E966" s="2"/>
    </row>
    <row r="967">
      <c r="A967" s="1" t="s">
        <v>5</v>
      </c>
      <c r="B967" s="3">
        <f>IFERROR(__xludf.DUMMYFUNCTION("""COMPUTED_VALUE"""),45896.6875)</f>
        <v>45896.6875</v>
      </c>
      <c r="C967" s="4">
        <f>IFERROR(__xludf.DUMMYFUNCTION("""COMPUTED_VALUE"""),4401.81)</f>
        <v>4401.81</v>
      </c>
      <c r="D967" s="4">
        <f t="shared" si="4"/>
        <v>0.006312011339</v>
      </c>
      <c r="E967" s="2"/>
    </row>
    <row r="968">
      <c r="A968" s="1" t="s">
        <v>5</v>
      </c>
      <c r="B968" s="3">
        <f>IFERROR(__xludf.DUMMYFUNCTION("""COMPUTED_VALUE"""),45897.6875)</f>
        <v>45897.6875</v>
      </c>
      <c r="C968" s="4">
        <f>IFERROR(__xludf.DUMMYFUNCTION("""COMPUTED_VALUE"""),4389.43)</f>
        <v>4389.43</v>
      </c>
      <c r="D968" s="4">
        <f t="shared" si="4"/>
        <v>-0.002812479412</v>
      </c>
      <c r="E968" s="2"/>
    </row>
    <row r="969">
      <c r="A969" s="1" t="s">
        <v>5</v>
      </c>
      <c r="B969" s="3">
        <f>IFERROR(__xludf.DUMMYFUNCTION("""COMPUTED_VALUE"""),45898.6875)</f>
        <v>45898.6875</v>
      </c>
      <c r="C969" s="4">
        <f>IFERROR(__xludf.DUMMYFUNCTION("""COMPUTED_VALUE"""),4429.42)</f>
        <v>4429.42</v>
      </c>
      <c r="D969" s="4">
        <f t="shared" si="4"/>
        <v>0.009110522323</v>
      </c>
      <c r="E969" s="2"/>
    </row>
    <row r="970">
      <c r="A970" s="1" t="s">
        <v>5</v>
      </c>
      <c r="B970" s="3">
        <f>IFERROR(__xludf.DUMMYFUNCTION("""COMPUTED_VALUE"""),45901.6875)</f>
        <v>45901.6875</v>
      </c>
      <c r="C970" s="4">
        <f>IFERROR(__xludf.DUMMYFUNCTION("""COMPUTED_VALUE"""),4440.85)</f>
        <v>4440.85</v>
      </c>
      <c r="D970" s="4">
        <f t="shared" si="4"/>
        <v>0.00258047329</v>
      </c>
      <c r="E970" s="2"/>
    </row>
    <row r="971">
      <c r="A971" s="1" t="s">
        <v>5</v>
      </c>
      <c r="B971" s="3">
        <f>IFERROR(__xludf.DUMMYFUNCTION("""COMPUTED_VALUE"""),45902.6875)</f>
        <v>45902.6875</v>
      </c>
      <c r="C971" s="4">
        <f>IFERROR(__xludf.DUMMYFUNCTION("""COMPUTED_VALUE"""),4501.79)</f>
        <v>4501.79</v>
      </c>
      <c r="D971" s="4">
        <f t="shared" si="4"/>
        <v>0.01372259815</v>
      </c>
      <c r="E971" s="2"/>
    </row>
    <row r="972">
      <c r="A972" s="1" t="s">
        <v>5</v>
      </c>
      <c r="B972" s="3">
        <f>IFERROR(__xludf.DUMMYFUNCTION("""COMPUTED_VALUE"""),45903.6875)</f>
        <v>45903.6875</v>
      </c>
      <c r="C972" s="4">
        <f>IFERROR(__xludf.DUMMYFUNCTION("""COMPUTED_VALUE"""),4534.16)</f>
        <v>4534.16</v>
      </c>
      <c r="D972" s="4">
        <f t="shared" si="4"/>
        <v>0.007190473123</v>
      </c>
      <c r="E972" s="2"/>
    </row>
    <row r="973">
      <c r="A973" s="1" t="s">
        <v>5</v>
      </c>
      <c r="B973" s="3">
        <f>IFERROR(__xludf.DUMMYFUNCTION("""COMPUTED_VALUE"""),45904.6875)</f>
        <v>45904.6875</v>
      </c>
      <c r="C973" s="4">
        <f>IFERROR(__xludf.DUMMYFUNCTION("""COMPUTED_VALUE"""),4571.29)</f>
        <v>4571.29</v>
      </c>
      <c r="D973" s="4">
        <f t="shared" si="4"/>
        <v>0.008188947898</v>
      </c>
      <c r="E973" s="2"/>
    </row>
    <row r="974">
      <c r="A974" s="1" t="s">
        <v>5</v>
      </c>
      <c r="B974" s="3">
        <f>IFERROR(__xludf.DUMMYFUNCTION("""COMPUTED_VALUE"""),45905.6875)</f>
        <v>45905.6875</v>
      </c>
      <c r="C974" s="4">
        <f>IFERROR(__xludf.DUMMYFUNCTION("""COMPUTED_VALUE"""),4540.82)</f>
        <v>4540.82</v>
      </c>
      <c r="D974" s="4">
        <f t="shared" si="4"/>
        <v>-0.006665514548</v>
      </c>
      <c r="E974" s="2"/>
    </row>
    <row r="975">
      <c r="A975" s="1" t="s">
        <v>5</v>
      </c>
      <c r="B975" s="3">
        <f>IFERROR(__xludf.DUMMYFUNCTION("""COMPUTED_VALUE"""),45908.6875)</f>
        <v>45908.6875</v>
      </c>
      <c r="C975" s="4">
        <f>IFERROR(__xludf.DUMMYFUNCTION("""COMPUTED_VALUE"""),4471.32)</f>
        <v>4471.32</v>
      </c>
      <c r="D975" s="4">
        <f t="shared" si="4"/>
        <v>-0.0153056056</v>
      </c>
      <c r="E975" s="2"/>
    </row>
    <row r="976">
      <c r="A976" s="1" t="s">
        <v>5</v>
      </c>
      <c r="B976" s="3">
        <f>IFERROR(__xludf.DUMMYFUNCTION("""COMPUTED_VALUE"""),45909.6875)</f>
        <v>45909.6875</v>
      </c>
      <c r="C976" s="4">
        <f>IFERROR(__xludf.DUMMYFUNCTION("""COMPUTED_VALUE"""),4404.67)</f>
        <v>4404.67</v>
      </c>
      <c r="D976" s="4">
        <f t="shared" si="4"/>
        <v>-0.01490611274</v>
      </c>
      <c r="E976" s="2"/>
    </row>
    <row r="977">
      <c r="A977" s="1" t="s">
        <v>5</v>
      </c>
      <c r="B977" s="3">
        <f>IFERROR(__xludf.DUMMYFUNCTION("""COMPUTED_VALUE"""),45910.6875)</f>
        <v>45910.6875</v>
      </c>
      <c r="C977" s="4">
        <f>IFERROR(__xludf.DUMMYFUNCTION("""COMPUTED_VALUE"""),4396.1)</f>
        <v>4396.1</v>
      </c>
      <c r="D977" s="4">
        <f t="shared" si="4"/>
        <v>-0.001945662218</v>
      </c>
      <c r="E977" s="2"/>
    </row>
    <row r="978">
      <c r="A978" s="1" t="s">
        <v>5</v>
      </c>
      <c r="B978" s="3">
        <f>IFERROR(__xludf.DUMMYFUNCTION("""COMPUTED_VALUE"""),45911.6875)</f>
        <v>45911.6875</v>
      </c>
      <c r="C978" s="4">
        <f>IFERROR(__xludf.DUMMYFUNCTION("""COMPUTED_VALUE"""),4412.28)</f>
        <v>4412.28</v>
      </c>
      <c r="D978" s="4">
        <f t="shared" si="4"/>
        <v>0.00368053502</v>
      </c>
      <c r="E978" s="2"/>
    </row>
    <row r="979">
      <c r="A979" s="1" t="s">
        <v>5</v>
      </c>
      <c r="B979" s="3">
        <f>IFERROR(__xludf.DUMMYFUNCTION("""COMPUTED_VALUE"""),45912.6875)</f>
        <v>45912.6875</v>
      </c>
      <c r="C979" s="4">
        <f>IFERROR(__xludf.DUMMYFUNCTION("""COMPUTED_VALUE"""),4408.47)</f>
        <v>4408.47</v>
      </c>
      <c r="D979" s="4">
        <f t="shared" si="4"/>
        <v>-0.0008634991433</v>
      </c>
      <c r="E979" s="2"/>
    </row>
    <row r="980">
      <c r="A980" s="1" t="s">
        <v>5</v>
      </c>
      <c r="B980" s="3">
        <f>IFERROR(__xludf.DUMMYFUNCTION("""COMPUTED_VALUE"""),45915.6875)</f>
        <v>45915.6875</v>
      </c>
      <c r="C980" s="4">
        <f>IFERROR(__xludf.DUMMYFUNCTION("""COMPUTED_VALUE"""),4367.53)</f>
        <v>4367.53</v>
      </c>
      <c r="D980" s="4">
        <f t="shared" si="4"/>
        <v>-0.009286668617</v>
      </c>
      <c r="E980" s="2"/>
    </row>
    <row r="981">
      <c r="A981" s="1" t="s">
        <v>5</v>
      </c>
      <c r="B981" s="3">
        <f>IFERROR(__xludf.DUMMYFUNCTION("""COMPUTED_VALUE"""),45916.6875)</f>
        <v>45916.6875</v>
      </c>
      <c r="C981" s="4">
        <f>IFERROR(__xludf.DUMMYFUNCTION("""COMPUTED_VALUE"""),4324.69)</f>
        <v>4324.69</v>
      </c>
      <c r="D981" s="4">
        <f t="shared" si="4"/>
        <v>-0.009808747736</v>
      </c>
      <c r="E981" s="2"/>
    </row>
    <row r="982">
      <c r="A982" s="1" t="s">
        <v>5</v>
      </c>
      <c r="B982" s="3">
        <f>IFERROR(__xludf.DUMMYFUNCTION("""COMPUTED_VALUE"""),45917.6875)</f>
        <v>45917.6875</v>
      </c>
      <c r="C982" s="4">
        <f>IFERROR(__xludf.DUMMYFUNCTION("""COMPUTED_VALUE"""),4340.87)</f>
        <v>4340.87</v>
      </c>
      <c r="D982" s="4">
        <f t="shared" si="4"/>
        <v>0.003741308626</v>
      </c>
      <c r="E982" s="2"/>
    </row>
    <row r="983">
      <c r="A983" s="1" t="s">
        <v>5</v>
      </c>
      <c r="B983" s="3">
        <f>IFERROR(__xludf.DUMMYFUNCTION("""COMPUTED_VALUE"""),45918.6875)</f>
        <v>45918.6875</v>
      </c>
      <c r="C983" s="4">
        <f>IFERROR(__xludf.DUMMYFUNCTION("""COMPUTED_VALUE"""),4332.3)</f>
        <v>4332.3</v>
      </c>
      <c r="D983" s="4">
        <f t="shared" si="4"/>
        <v>-0.001974258616</v>
      </c>
      <c r="E983" s="2"/>
    </row>
    <row r="984">
      <c r="A984" s="1" t="s">
        <v>5</v>
      </c>
      <c r="B984" s="3">
        <f>IFERROR(__xludf.DUMMYFUNCTION("""COMPUTED_VALUE"""),45919.6875)</f>
        <v>45919.6875</v>
      </c>
      <c r="C984" s="4">
        <f>IFERROR(__xludf.DUMMYFUNCTION("""COMPUTED_VALUE"""),4336.11)</f>
        <v>4336.11</v>
      </c>
      <c r="D984" s="4">
        <f t="shared" si="4"/>
        <v>0.000879440482</v>
      </c>
      <c r="E984" s="2"/>
    </row>
    <row r="985">
      <c r="A985" s="1" t="s">
        <v>5</v>
      </c>
      <c r="B985" s="3">
        <f>IFERROR(__xludf.DUMMYFUNCTION("""COMPUTED_VALUE"""),45922.6875)</f>
        <v>45922.6875</v>
      </c>
      <c r="C985" s="4">
        <f>IFERROR(__xludf.DUMMYFUNCTION("""COMPUTED_VALUE"""),4266.6)</f>
        <v>4266.6</v>
      </c>
      <c r="D985" s="4">
        <f t="shared" si="4"/>
        <v>-0.01603049738</v>
      </c>
      <c r="E985" s="2"/>
    </row>
    <row r="986">
      <c r="A986" s="1" t="s">
        <v>5</v>
      </c>
      <c r="B986" s="3">
        <f>IFERROR(__xludf.DUMMYFUNCTION("""COMPUTED_VALUE"""),45923.6875)</f>
        <v>45923.6875</v>
      </c>
      <c r="C986" s="4">
        <f>IFERROR(__xludf.DUMMYFUNCTION("""COMPUTED_VALUE"""),4240.9)</f>
        <v>4240.9</v>
      </c>
      <c r="D986" s="4">
        <f t="shared" si="4"/>
        <v>-0.006023531618</v>
      </c>
      <c r="E986" s="2"/>
    </row>
    <row r="987">
      <c r="A987" s="1" t="s">
        <v>5</v>
      </c>
      <c r="B987" s="3">
        <f>IFERROR(__xludf.DUMMYFUNCTION("""COMPUTED_VALUE"""),45924.6875)</f>
        <v>45924.6875</v>
      </c>
      <c r="C987" s="4">
        <f>IFERROR(__xludf.DUMMYFUNCTION("""COMPUTED_VALUE"""),4242.8)</f>
        <v>4242.8</v>
      </c>
      <c r="D987" s="4">
        <f t="shared" si="4"/>
        <v>0.0004480181094</v>
      </c>
      <c r="E987" s="2"/>
    </row>
    <row r="988">
      <c r="A988" s="1" t="s">
        <v>5</v>
      </c>
      <c r="B988" s="3">
        <f>IFERROR(__xludf.DUMMYFUNCTION("""COMPUTED_VALUE"""),45925.6875)</f>
        <v>45925.6875</v>
      </c>
      <c r="C988" s="4">
        <f>IFERROR(__xludf.DUMMYFUNCTION("""COMPUTED_VALUE"""),4236.13)</f>
        <v>4236.13</v>
      </c>
      <c r="D988" s="4">
        <f t="shared" si="4"/>
        <v>-0.001572075045</v>
      </c>
      <c r="E988" s="2"/>
    </row>
    <row r="989">
      <c r="A989" s="1" t="s">
        <v>5</v>
      </c>
      <c r="B989" s="3">
        <f>IFERROR(__xludf.DUMMYFUNCTION("""COMPUTED_VALUE"""),45926.6875)</f>
        <v>45926.6875</v>
      </c>
      <c r="C989" s="4">
        <f>IFERROR(__xludf.DUMMYFUNCTION("""COMPUTED_VALUE"""),4200.91)</f>
        <v>4200.91</v>
      </c>
      <c r="D989" s="4">
        <f t="shared" si="4"/>
        <v>-0.008314192435</v>
      </c>
      <c r="E989" s="2"/>
    </row>
    <row r="990">
      <c r="A990" s="1" t="s">
        <v>5</v>
      </c>
      <c r="B990" s="3">
        <f>IFERROR(__xludf.DUMMYFUNCTION("""COMPUTED_VALUE"""),45929.6875)</f>
        <v>45929.6875</v>
      </c>
      <c r="C990" s="4">
        <f>IFERROR(__xludf.DUMMYFUNCTION("""COMPUTED_VALUE"""),4177.1)</f>
        <v>4177.1</v>
      </c>
      <c r="D990" s="4">
        <f t="shared" si="4"/>
        <v>-0.005667819591</v>
      </c>
      <c r="E990" s="2"/>
    </row>
    <row r="991">
      <c r="A991" s="1" t="s">
        <v>5</v>
      </c>
      <c r="B991" s="3">
        <f>IFERROR(__xludf.DUMMYFUNCTION("""COMPUTED_VALUE"""),45930.6875)</f>
        <v>45930.6875</v>
      </c>
      <c r="C991" s="4">
        <f>IFERROR(__xludf.DUMMYFUNCTION("""COMPUTED_VALUE"""),4189.48)</f>
        <v>4189.48</v>
      </c>
      <c r="D991" s="4">
        <f t="shared" si="4"/>
        <v>0.002963778698</v>
      </c>
      <c r="E991" s="2"/>
    </row>
    <row r="992">
      <c r="A992" s="1" t="s">
        <v>5</v>
      </c>
      <c r="B992" s="3">
        <f>IFERROR(__xludf.DUMMYFUNCTION("""COMPUTED_VALUE"""),45931.6875)</f>
        <v>45931.6875</v>
      </c>
      <c r="C992" s="4">
        <f>IFERROR(__xludf.DUMMYFUNCTION("""COMPUTED_VALUE"""),4162.82)</f>
        <v>4162.82</v>
      </c>
      <c r="D992" s="4">
        <f t="shared" si="4"/>
        <v>-0.006363558246</v>
      </c>
      <c r="E992" s="2"/>
    </row>
    <row r="993">
      <c r="A993" s="1" t="s">
        <v>5</v>
      </c>
      <c r="B993" s="3">
        <f>IFERROR(__xludf.DUMMYFUNCTION("""COMPUTED_VALUE"""),45932.6875)</f>
        <v>45932.6875</v>
      </c>
      <c r="C993" s="4">
        <f>IFERROR(__xludf.DUMMYFUNCTION("""COMPUTED_VALUE"""),4174.24)</f>
        <v>4174.24</v>
      </c>
      <c r="D993" s="4">
        <f t="shared" si="4"/>
        <v>0.002743332645</v>
      </c>
      <c r="E993" s="2"/>
    </row>
    <row r="994">
      <c r="A994" s="1" t="s">
        <v>5</v>
      </c>
      <c r="B994" s="3">
        <f>IFERROR(__xludf.DUMMYFUNCTION("""COMPUTED_VALUE"""),45933.6875)</f>
        <v>45933.6875</v>
      </c>
      <c r="C994" s="4">
        <f>IFERROR(__xludf.DUMMYFUNCTION("""COMPUTED_VALUE"""),4181.86)</f>
        <v>4181.86</v>
      </c>
      <c r="D994" s="4">
        <f t="shared" si="4"/>
        <v>0.001825482004</v>
      </c>
      <c r="E994" s="2"/>
    </row>
    <row r="995">
      <c r="A995" s="1" t="s">
        <v>5</v>
      </c>
      <c r="B995" s="3">
        <f>IFERROR(__xludf.DUMMYFUNCTION("""COMPUTED_VALUE"""),45936.6875)</f>
        <v>45936.6875</v>
      </c>
      <c r="C995" s="4">
        <f>IFERROR(__xludf.DUMMYFUNCTION("""COMPUTED_VALUE"""),4129.49)</f>
        <v>4129.49</v>
      </c>
      <c r="D995" s="4">
        <f t="shared" si="4"/>
        <v>-0.01252313564</v>
      </c>
      <c r="E995" s="2"/>
    </row>
    <row r="996">
      <c r="A996" s="1" t="s">
        <v>5</v>
      </c>
      <c r="B996" s="3">
        <f>IFERROR(__xludf.DUMMYFUNCTION("""COMPUTED_VALUE"""),45937.6875)</f>
        <v>45937.6875</v>
      </c>
      <c r="C996" s="4">
        <f>IFERROR(__xludf.DUMMYFUNCTION("""COMPUTED_VALUE"""),4147.58)</f>
        <v>4147.58</v>
      </c>
      <c r="D996" s="4">
        <f t="shared" si="4"/>
        <v>0.004380686235</v>
      </c>
      <c r="E996" s="2"/>
    </row>
    <row r="997">
      <c r="A997" s="1" t="s">
        <v>5</v>
      </c>
      <c r="B997" s="3">
        <f>IFERROR(__xludf.DUMMYFUNCTION("""COMPUTED_VALUE"""),45938.6875)</f>
        <v>45938.6875</v>
      </c>
      <c r="C997" s="4">
        <f>IFERROR(__xludf.DUMMYFUNCTION("""COMPUTED_VALUE"""),4163.77)</f>
        <v>4163.77</v>
      </c>
      <c r="D997" s="4">
        <f t="shared" si="4"/>
        <v>0.003903481066</v>
      </c>
      <c r="E997" s="2"/>
    </row>
    <row r="998">
      <c r="A998" s="1" t="s">
        <v>5</v>
      </c>
      <c r="B998" s="3">
        <f>IFERROR(__xludf.DUMMYFUNCTION("""COMPUTED_VALUE"""),45939.6875)</f>
        <v>45939.6875</v>
      </c>
      <c r="C998" s="4">
        <f>IFERROR(__xludf.DUMMYFUNCTION("""COMPUTED_VALUE"""),4209.47)</f>
        <v>4209.47</v>
      </c>
      <c r="D998" s="4">
        <f t="shared" si="4"/>
        <v>0.01097563026</v>
      </c>
      <c r="E998" s="2"/>
    </row>
    <row r="999">
      <c r="A999" s="1" t="s">
        <v>5</v>
      </c>
      <c r="B999" s="3">
        <f>IFERROR(__xludf.DUMMYFUNCTION("""COMPUTED_VALUE"""),45940.6875)</f>
        <v>45940.6875</v>
      </c>
      <c r="C999" s="4">
        <f>IFERROR(__xludf.DUMMYFUNCTION("""COMPUTED_VALUE"""),4270.41)</f>
        <v>4270.41</v>
      </c>
      <c r="D999" s="4">
        <f t="shared" si="4"/>
        <v>0.01447688189</v>
      </c>
      <c r="E999" s="2"/>
    </row>
    <row r="1000">
      <c r="A1000" s="1" t="s">
        <v>5</v>
      </c>
      <c r="B1000" s="3">
        <f>IFERROR(__xludf.DUMMYFUNCTION("""COMPUTED_VALUE"""),45943.6875)</f>
        <v>45943.6875</v>
      </c>
      <c r="C1000" s="4">
        <f>IFERROR(__xludf.DUMMYFUNCTION("""COMPUTED_VALUE"""),4261.84)</f>
        <v>4261.84</v>
      </c>
      <c r="D1000" s="4">
        <f t="shared" si="4"/>
        <v>-0.002006833068</v>
      </c>
      <c r="E1000" s="2"/>
    </row>
    <row r="1001">
      <c r="A1001" s="1" t="s">
        <v>5</v>
      </c>
      <c r="B1001" s="3">
        <f>IFERROR(__xludf.DUMMYFUNCTION("""COMPUTED_VALUE"""),45944.6875)</f>
        <v>45944.6875</v>
      </c>
      <c r="C1001" s="4">
        <f>IFERROR(__xludf.DUMMYFUNCTION("""COMPUTED_VALUE"""),4339.92)</f>
        <v>4339.92</v>
      </c>
      <c r="D1001" s="4">
        <f t="shared" si="4"/>
        <v>0.01832072532</v>
      </c>
      <c r="E1001" s="2"/>
    </row>
    <row r="1002">
      <c r="A1002" s="1" t="s">
        <v>5</v>
      </c>
      <c r="B1002" s="3">
        <f>IFERROR(__xludf.DUMMYFUNCTION("""COMPUTED_VALUE"""),45945.6875)</f>
        <v>45945.6875</v>
      </c>
      <c r="C1002" s="4">
        <f>IFERROR(__xludf.DUMMYFUNCTION("""COMPUTED_VALUE"""),4291.36)</f>
        <v>4291.36</v>
      </c>
      <c r="D1002" s="4">
        <f t="shared" si="4"/>
        <v>-0.01118914634</v>
      </c>
      <c r="E1002" s="2"/>
    </row>
    <row r="1003">
      <c r="A1003" s="1" t="s">
        <v>5</v>
      </c>
      <c r="B1003" s="3">
        <f>IFERROR(__xludf.DUMMYFUNCTION("""COMPUTED_VALUE"""),45946.6875)</f>
        <v>45946.6875</v>
      </c>
      <c r="C1003" s="4">
        <f>IFERROR(__xludf.DUMMYFUNCTION("""COMPUTED_VALUE"""),4370.39)</f>
        <v>4370.39</v>
      </c>
      <c r="D1003" s="4">
        <f t="shared" si="4"/>
        <v>0.01841607323</v>
      </c>
      <c r="E1003" s="2"/>
    </row>
    <row r="1004">
      <c r="A1004" s="1" t="s">
        <v>5</v>
      </c>
      <c r="B1004" s="3">
        <f>IFERROR(__xludf.DUMMYFUNCTION("""COMPUTED_VALUE"""),45947.6875)</f>
        <v>45947.6875</v>
      </c>
      <c r="C1004" s="4">
        <f>IFERROR(__xludf.DUMMYFUNCTION("""COMPUTED_VALUE"""),4441.8)</f>
        <v>4441.8</v>
      </c>
      <c r="D1004" s="4">
        <f t="shared" si="4"/>
        <v>0.01633950288</v>
      </c>
      <c r="E1004" s="2"/>
    </row>
    <row r="1005">
      <c r="A1005" s="1" t="s">
        <v>5</v>
      </c>
      <c r="B1005" s="3">
        <f>IFERROR(__xludf.DUMMYFUNCTION("""COMPUTED_VALUE"""),45950.6875)</f>
        <v>45950.6875</v>
      </c>
      <c r="C1005" s="4">
        <f>IFERROR(__xludf.DUMMYFUNCTION("""COMPUTED_VALUE"""),4436.09)</f>
        <v>4436.09</v>
      </c>
      <c r="D1005" s="4">
        <f t="shared" si="4"/>
        <v>-0.001285514881</v>
      </c>
      <c r="E1005" s="2"/>
    </row>
    <row r="1006">
      <c r="A1006" s="1" t="s">
        <v>5</v>
      </c>
      <c r="B1006" s="3">
        <f>IFERROR(__xludf.DUMMYFUNCTION("""COMPUTED_VALUE"""),45951.6875)</f>
        <v>45951.6875</v>
      </c>
      <c r="C1006" s="4">
        <f>IFERROR(__xludf.DUMMYFUNCTION("""COMPUTED_VALUE"""),4414.19)</f>
        <v>4414.19</v>
      </c>
      <c r="D1006" s="4">
        <f t="shared" si="4"/>
        <v>-0.004936779912</v>
      </c>
      <c r="E1006" s="2"/>
    </row>
    <row r="1007">
      <c r="A1007" s="1" t="s">
        <v>5</v>
      </c>
      <c r="B1007" s="3">
        <f>IFERROR(__xludf.DUMMYFUNCTION("""COMPUTED_VALUE"""),45952.6875)</f>
        <v>45952.6875</v>
      </c>
      <c r="C1007" s="4">
        <f>IFERROR(__xludf.DUMMYFUNCTION("""COMPUTED_VALUE"""),4430.37)</f>
        <v>4430.37</v>
      </c>
      <c r="D1007" s="4">
        <f t="shared" si="4"/>
        <v>0.003665451646</v>
      </c>
      <c r="E1007" s="2"/>
    </row>
    <row r="1008">
      <c r="A1008" s="1" t="s">
        <v>5</v>
      </c>
      <c r="B1008" s="3">
        <f>IFERROR(__xludf.DUMMYFUNCTION("""COMPUTED_VALUE"""),45953.6875)</f>
        <v>45953.6875</v>
      </c>
      <c r="C1008" s="4">
        <f>IFERROR(__xludf.DUMMYFUNCTION("""COMPUTED_VALUE"""),4460.84)</f>
        <v>4460.84</v>
      </c>
      <c r="D1008" s="4">
        <f t="shared" si="4"/>
        <v>0.006877529416</v>
      </c>
      <c r="E1008" s="2"/>
    </row>
    <row r="1009">
      <c r="A1009" s="1" t="s">
        <v>5</v>
      </c>
      <c r="B1009" s="3">
        <f>IFERROR(__xludf.DUMMYFUNCTION("""COMPUTED_VALUE"""),45954.6875)</f>
        <v>45954.6875</v>
      </c>
      <c r="C1009" s="4">
        <f>IFERROR(__xludf.DUMMYFUNCTION("""COMPUTED_VALUE"""),4464.65)</f>
        <v>4464.65</v>
      </c>
      <c r="D1009" s="4">
        <f t="shared" si="4"/>
        <v>0.0008540992279</v>
      </c>
      <c r="E1009" s="2"/>
    </row>
    <row r="1010">
      <c r="A1010" s="1" t="s">
        <v>5</v>
      </c>
      <c r="B1010" s="3">
        <f>IFERROR(__xludf.DUMMYFUNCTION("""COMPUTED_VALUE"""),45957.6875)</f>
        <v>45957.6875</v>
      </c>
      <c r="C1010" s="4">
        <f>IFERROR(__xludf.DUMMYFUNCTION("""COMPUTED_VALUE"""),4444.66)</f>
        <v>4444.66</v>
      </c>
      <c r="D1010" s="4">
        <f t="shared" si="4"/>
        <v>-0.004477394645</v>
      </c>
      <c r="E1010" s="2"/>
    </row>
    <row r="1011">
      <c r="A1011" s="1" t="s">
        <v>5</v>
      </c>
      <c r="B1011" s="3">
        <f>IFERROR(__xludf.DUMMYFUNCTION("""COMPUTED_VALUE"""),45958.6875)</f>
        <v>45958.6875</v>
      </c>
      <c r="C1011" s="4">
        <f>IFERROR(__xludf.DUMMYFUNCTION("""COMPUTED_VALUE"""),4409.43)</f>
        <v>4409.43</v>
      </c>
      <c r="D1011" s="4">
        <f t="shared" si="4"/>
        <v>-0.007926365571</v>
      </c>
      <c r="E1011" s="2"/>
    </row>
    <row r="1012">
      <c r="A1012" s="1" t="s">
        <v>5</v>
      </c>
      <c r="B1012" s="3">
        <f>IFERROR(__xludf.DUMMYFUNCTION("""COMPUTED_VALUE"""),45959.6875)</f>
        <v>45959.6875</v>
      </c>
      <c r="C1012" s="4">
        <f>IFERROR(__xludf.DUMMYFUNCTION("""COMPUTED_VALUE"""),4389.43)</f>
        <v>4389.43</v>
      </c>
      <c r="D1012" s="4">
        <f t="shared" si="4"/>
        <v>-0.004535733644</v>
      </c>
      <c r="E1012" s="2"/>
    </row>
    <row r="1013">
      <c r="A1013" s="1" t="s">
        <v>5</v>
      </c>
      <c r="B1013" s="3">
        <f>IFERROR(__xludf.DUMMYFUNCTION("""COMPUTED_VALUE"""),45960.6875)</f>
        <v>45960.6875</v>
      </c>
      <c r="C1013" s="4">
        <f>IFERROR(__xludf.DUMMYFUNCTION("""COMPUTED_VALUE"""),4385.62)</f>
        <v>4385.62</v>
      </c>
      <c r="D1013" s="4">
        <f t="shared" si="4"/>
        <v>-0.0008679942498</v>
      </c>
      <c r="E1013" s="2"/>
    </row>
    <row r="1014">
      <c r="A1014" s="1" t="s">
        <v>5</v>
      </c>
      <c r="B1014" s="3">
        <f>IFERROR(__xludf.DUMMYFUNCTION("""COMPUTED_VALUE"""),45961.6875)</f>
        <v>45961.6875</v>
      </c>
      <c r="C1014" s="4">
        <f>IFERROR(__xludf.DUMMYFUNCTION("""COMPUTED_VALUE"""),4369.44)</f>
        <v>4369.44</v>
      </c>
      <c r="D1014" s="4">
        <f t="shared" si="4"/>
        <v>-0.003689330129</v>
      </c>
      <c r="E1014" s="2"/>
    </row>
    <row r="1015">
      <c r="A1015" s="1" t="s">
        <v>5</v>
      </c>
      <c r="B1015" s="3">
        <f>IFERROR(__xludf.DUMMYFUNCTION("""COMPUTED_VALUE"""),45964.6875)</f>
        <v>45964.6875</v>
      </c>
      <c r="C1015" s="4">
        <f>IFERROR(__xludf.DUMMYFUNCTION("""COMPUTED_VALUE"""),4377.05)</f>
        <v>4377.05</v>
      </c>
      <c r="D1015" s="4">
        <f t="shared" si="4"/>
        <v>0.00174164195</v>
      </c>
      <c r="E1015" s="2"/>
    </row>
    <row r="1016">
      <c r="A1016" s="1" t="s">
        <v>5</v>
      </c>
      <c r="B1016" s="3">
        <f>IFERROR(__xludf.DUMMYFUNCTION("""COMPUTED_VALUE"""),45965.6875)</f>
        <v>45965.6875</v>
      </c>
      <c r="C1016" s="4">
        <f>IFERROR(__xludf.DUMMYFUNCTION("""COMPUTED_VALUE"""),4410.38)</f>
        <v>4410.38</v>
      </c>
      <c r="D1016" s="4">
        <f t="shared" si="4"/>
        <v>0.007614717675</v>
      </c>
      <c r="E1016" s="2"/>
    </row>
    <row r="1017">
      <c r="A1017" s="1" t="s">
        <v>5</v>
      </c>
      <c r="B1017" s="3">
        <f>IFERROR(__xludf.DUMMYFUNCTION("""COMPUTED_VALUE"""),45966.6875)</f>
        <v>45966.6875</v>
      </c>
      <c r="C1017" s="4">
        <f>IFERROR(__xludf.DUMMYFUNCTION("""COMPUTED_VALUE"""),4427.52)</f>
        <v>4427.52</v>
      </c>
      <c r="D1017" s="4">
        <f t="shared" si="4"/>
        <v>0.003886286442</v>
      </c>
      <c r="E1017" s="2"/>
    </row>
    <row r="1018">
      <c r="A1018" s="1" t="s">
        <v>5</v>
      </c>
      <c r="B1018" s="3">
        <f>IFERROR(__xludf.DUMMYFUNCTION("""COMPUTED_VALUE"""),45967.6875)</f>
        <v>45967.6875</v>
      </c>
      <c r="C1018" s="4">
        <f>IFERROR(__xludf.DUMMYFUNCTION("""COMPUTED_VALUE"""),4373.25)</f>
        <v>4373.25</v>
      </c>
      <c r="D1018" s="4">
        <f t="shared" si="4"/>
        <v>-0.01225742628</v>
      </c>
      <c r="E1018" s="2"/>
    </row>
    <row r="1019">
      <c r="A1019" s="1" t="s">
        <v>5</v>
      </c>
      <c r="B1019" s="3">
        <f>IFERROR(__xludf.DUMMYFUNCTION("""COMPUTED_VALUE"""),45968.6875)</f>
        <v>45968.6875</v>
      </c>
      <c r="C1019" s="4">
        <f>IFERROR(__xludf.DUMMYFUNCTION("""COMPUTED_VALUE"""),4397.05)</f>
        <v>4397.05</v>
      </c>
      <c r="D1019" s="4">
        <f t="shared" si="4"/>
        <v>0.005442176871</v>
      </c>
      <c r="E1019" s="2"/>
    </row>
    <row r="1020">
      <c r="A1020" s="1" t="s">
        <v>5</v>
      </c>
      <c r="B1020" s="3">
        <f>IFERROR(__xludf.DUMMYFUNCTION("""COMPUTED_VALUE"""),45971.6875)</f>
        <v>45971.6875</v>
      </c>
      <c r="C1020" s="4">
        <f>IFERROR(__xludf.DUMMYFUNCTION("""COMPUTED_VALUE"""),4369.44)</f>
        <v>4369.44</v>
      </c>
      <c r="D1020" s="4">
        <f t="shared" si="4"/>
        <v>-0.006279209925</v>
      </c>
      <c r="E1020" s="2"/>
    </row>
    <row r="1021">
      <c r="A1021" s="1" t="s">
        <v>5</v>
      </c>
      <c r="B1021" s="3">
        <f>IFERROR(__xludf.DUMMYFUNCTION("""COMPUTED_VALUE"""),45972.6875)</f>
        <v>45972.6875</v>
      </c>
      <c r="C1021" s="4">
        <f>IFERROR(__xludf.DUMMYFUNCTION("""COMPUTED_VALUE"""),4388.48)</f>
        <v>4388.48</v>
      </c>
      <c r="D1021" s="4">
        <f t="shared" si="4"/>
        <v>0.004357537808</v>
      </c>
      <c r="E1021" s="2"/>
    </row>
    <row r="1022">
      <c r="A1022" s="1" t="s">
        <v>5</v>
      </c>
      <c r="B1022" s="3">
        <f>IFERROR(__xludf.DUMMYFUNCTION("""COMPUTED_VALUE"""),45973.6875)</f>
        <v>45973.6875</v>
      </c>
      <c r="C1022" s="4">
        <f>IFERROR(__xludf.DUMMYFUNCTION("""COMPUTED_VALUE"""),4387.53)</f>
        <v>4387.53</v>
      </c>
      <c r="D1022" s="4">
        <f t="shared" si="4"/>
        <v>-0.0002164758641</v>
      </c>
      <c r="E1022" s="2"/>
    </row>
    <row r="1023">
      <c r="A1023" s="1" t="s">
        <v>5</v>
      </c>
      <c r="B1023" s="3">
        <f>IFERROR(__xludf.DUMMYFUNCTION("""COMPUTED_VALUE"""),45974.6875)</f>
        <v>45974.6875</v>
      </c>
      <c r="C1023" s="4">
        <f>IFERROR(__xludf.DUMMYFUNCTION("""COMPUTED_VALUE"""),4345.63)</f>
        <v>4345.63</v>
      </c>
      <c r="D1023" s="4">
        <f t="shared" si="4"/>
        <v>-0.009549792252</v>
      </c>
      <c r="E1023" s="2"/>
    </row>
    <row r="1024">
      <c r="A1024" s="1" t="s">
        <v>5</v>
      </c>
      <c r="B1024" s="3">
        <f>IFERROR(__xludf.DUMMYFUNCTION("""COMPUTED_VALUE"""),45975.6875)</f>
        <v>45975.6875</v>
      </c>
      <c r="C1024" s="4">
        <f>IFERROR(__xludf.DUMMYFUNCTION("""COMPUTED_VALUE"""),4256.13)</f>
        <v>4256.13</v>
      </c>
      <c r="D1024" s="4">
        <f t="shared" si="4"/>
        <v>-0.02059540274</v>
      </c>
      <c r="E1024" s="2"/>
    </row>
    <row r="1025">
      <c r="A1025" s="1" t="s">
        <v>5</v>
      </c>
      <c r="B1025" s="3">
        <f>IFERROR(__xludf.DUMMYFUNCTION("""COMPUTED_VALUE"""),45978.6875)</f>
        <v>45978.6875</v>
      </c>
      <c r="C1025" s="4">
        <f>IFERROR(__xludf.DUMMYFUNCTION("""COMPUTED_VALUE"""),4252.32)</f>
        <v>4252.32</v>
      </c>
      <c r="D1025" s="4">
        <f t="shared" si="4"/>
        <v>-0.0008951794236</v>
      </c>
      <c r="E1025" s="2"/>
    </row>
    <row r="1026">
      <c r="A1026" s="1" t="s">
        <v>5</v>
      </c>
      <c r="B1026" s="3">
        <f>IFERROR(__xludf.DUMMYFUNCTION("""COMPUTED_VALUE"""),45979.6875)</f>
        <v>45979.6875</v>
      </c>
      <c r="C1026" s="4">
        <f>IFERROR(__xludf.DUMMYFUNCTION("""COMPUTED_VALUE"""),4257.08)</f>
        <v>4257.08</v>
      </c>
      <c r="D1026" s="4">
        <f t="shared" si="4"/>
        <v>0.001119388945</v>
      </c>
      <c r="E1026" s="2"/>
    </row>
    <row r="1027">
      <c r="A1027" s="1" t="s">
        <v>5</v>
      </c>
      <c r="B1027" s="3">
        <f>IFERROR(__xludf.DUMMYFUNCTION("""COMPUTED_VALUE"""),45980.6875)</f>
        <v>45980.6875</v>
      </c>
      <c r="C1027" s="4">
        <f>IFERROR(__xludf.DUMMYFUNCTION("""COMPUTED_VALUE"""),4263.75)</f>
        <v>4263.75</v>
      </c>
      <c r="D1027" s="4">
        <f t="shared" si="4"/>
        <v>0.001566801657</v>
      </c>
      <c r="E1027" s="2"/>
    </row>
    <row r="1028">
      <c r="A1028" s="1" t="s">
        <v>5</v>
      </c>
      <c r="B1028" s="3">
        <f>IFERROR(__xludf.DUMMYFUNCTION("""COMPUTED_VALUE"""),45981.6875)</f>
        <v>45981.6875</v>
      </c>
      <c r="C1028" s="4">
        <f>IFERROR(__xludf.DUMMYFUNCTION("""COMPUTED_VALUE"""),4267.56)</f>
        <v>4267.56</v>
      </c>
      <c r="D1028" s="4">
        <f t="shared" si="4"/>
        <v>0.0008935795954</v>
      </c>
      <c r="E1028" s="2"/>
    </row>
    <row r="1029">
      <c r="A1029" s="1" t="s">
        <v>5</v>
      </c>
      <c r="B1029" s="3">
        <f>IFERROR(__xludf.DUMMYFUNCTION("""COMPUTED_VALUE"""),45982.6875)</f>
        <v>45982.6875</v>
      </c>
      <c r="C1029" s="4">
        <f>IFERROR(__xludf.DUMMYFUNCTION("""COMPUTED_VALUE"""),4365.63)</f>
        <v>4365.63</v>
      </c>
      <c r="D1029" s="4">
        <f t="shared" si="4"/>
        <v>0.02298034474</v>
      </c>
      <c r="E1029" s="2"/>
    </row>
    <row r="1030">
      <c r="A1030" s="1" t="s">
        <v>5</v>
      </c>
      <c r="B1030" s="3">
        <f>IFERROR(__xludf.DUMMYFUNCTION("""COMPUTED_VALUE"""),45985.6875)</f>
        <v>45985.6875</v>
      </c>
      <c r="C1030" s="4">
        <f>IFERROR(__xludf.DUMMYFUNCTION("""COMPUTED_VALUE"""),4305.64)</f>
        <v>4305.64</v>
      </c>
      <c r="D1030" s="4">
        <f t="shared" si="4"/>
        <v>-0.01374143022</v>
      </c>
      <c r="E1030" s="2"/>
    </row>
    <row r="1031">
      <c r="A1031" s="1" t="s">
        <v>5</v>
      </c>
      <c r="B1031" s="3">
        <f>IFERROR(__xludf.DUMMYFUNCTION("""COMPUTED_VALUE"""),45986.6875)</f>
        <v>45986.6875</v>
      </c>
      <c r="C1031" s="4">
        <f>IFERROR(__xludf.DUMMYFUNCTION("""COMPUTED_VALUE"""),4334.21)</f>
        <v>4334.21</v>
      </c>
      <c r="D1031" s="4">
        <f t="shared" si="4"/>
        <v>0.006635482762</v>
      </c>
      <c r="E1031" s="2"/>
    </row>
    <row r="1032">
      <c r="A1032" s="1" t="s">
        <v>5</v>
      </c>
      <c r="B1032" s="3">
        <f>IFERROR(__xludf.DUMMYFUNCTION("""COMPUTED_VALUE"""),45987.6875)</f>
        <v>45987.6875</v>
      </c>
      <c r="C1032" s="4">
        <f>IFERROR(__xludf.DUMMYFUNCTION("""COMPUTED_VALUE"""),4304.69)</f>
        <v>4304.69</v>
      </c>
      <c r="D1032" s="4">
        <f t="shared" si="4"/>
        <v>-0.006810929789</v>
      </c>
      <c r="E1032" s="2"/>
    </row>
    <row r="1033">
      <c r="A1033" s="1" t="s">
        <v>5</v>
      </c>
      <c r="B1033" s="3">
        <f>IFERROR(__xludf.DUMMYFUNCTION("""COMPUTED_VALUE"""),45988.6875)</f>
        <v>45988.6875</v>
      </c>
      <c r="C1033" s="4">
        <f>IFERROR(__xludf.DUMMYFUNCTION("""COMPUTED_VALUE"""),4303.74)</f>
        <v>4303.74</v>
      </c>
      <c r="D1033" s="4">
        <f t="shared" si="4"/>
        <v>-0.000220689527</v>
      </c>
      <c r="E1033" s="2"/>
    </row>
    <row r="1034">
      <c r="A1034" s="1" t="s">
        <v>5</v>
      </c>
      <c r="B1034" s="3">
        <f>IFERROR(__xludf.DUMMYFUNCTION("""COMPUTED_VALUE"""),45989.6875)</f>
        <v>45989.6875</v>
      </c>
      <c r="C1034" s="4">
        <f>IFERROR(__xludf.DUMMYFUNCTION("""COMPUTED_VALUE"""),4326.59)</f>
        <v>4326.59</v>
      </c>
      <c r="D1034" s="4">
        <f t="shared" si="4"/>
        <v>0.005309335601</v>
      </c>
      <c r="E1034" s="2"/>
    </row>
    <row r="1035">
      <c r="A1035" s="1" t="s">
        <v>5</v>
      </c>
      <c r="B1035" s="3">
        <f>IFERROR(__xludf.DUMMYFUNCTION("""COMPUTED_VALUE"""),45992.6875)</f>
        <v>45992.6875</v>
      </c>
      <c r="C1035" s="4">
        <f>IFERROR(__xludf.DUMMYFUNCTION("""COMPUTED_VALUE"""),4340.87)</f>
        <v>4340.87</v>
      </c>
      <c r="D1035" s="4">
        <f t="shared" si="4"/>
        <v>0.003300520733</v>
      </c>
      <c r="E1035" s="2"/>
    </row>
    <row r="1036">
      <c r="A1036" s="1" t="s">
        <v>5</v>
      </c>
      <c r="B1036" s="3">
        <f>IFERROR(__xludf.DUMMYFUNCTION("""COMPUTED_VALUE"""),45993.6875)</f>
        <v>45993.6875</v>
      </c>
      <c r="C1036" s="4">
        <f>IFERROR(__xludf.DUMMYFUNCTION("""COMPUTED_VALUE"""),4268.51)</f>
        <v>4268.51</v>
      </c>
      <c r="D1036" s="4">
        <f t="shared" si="4"/>
        <v>-0.01666946948</v>
      </c>
      <c r="E1036" s="2"/>
    </row>
    <row r="1037">
      <c r="A1037" s="1" t="s">
        <v>5</v>
      </c>
      <c r="B1037" s="3">
        <f>IFERROR(__xludf.DUMMYFUNCTION("""COMPUTED_VALUE"""),45994.6875)</f>
        <v>45994.6875</v>
      </c>
      <c r="C1037" s="4">
        <f>IFERROR(__xludf.DUMMYFUNCTION("""COMPUTED_VALUE"""),4239.94)</f>
        <v>4239.94</v>
      </c>
      <c r="D1037" s="4">
        <f t="shared" si="4"/>
        <v>-0.006693202078</v>
      </c>
      <c r="E1037" s="2"/>
    </row>
    <row r="1038">
      <c r="A1038" s="1" t="s">
        <v>5</v>
      </c>
      <c r="B1038" s="3">
        <f>IFERROR(__xludf.DUMMYFUNCTION("""COMPUTED_VALUE"""),45995.6875)</f>
        <v>45995.6875</v>
      </c>
      <c r="C1038" s="4">
        <f>IFERROR(__xludf.DUMMYFUNCTION("""COMPUTED_VALUE"""),4216.14)</f>
        <v>4216.14</v>
      </c>
      <c r="D1038" s="4">
        <f t="shared" si="4"/>
        <v>-0.00561328698</v>
      </c>
      <c r="E1038" s="2"/>
    </row>
    <row r="1039">
      <c r="A1039" s="1" t="s">
        <v>5</v>
      </c>
      <c r="B1039" s="3">
        <f>IFERROR(__xludf.DUMMYFUNCTION("""COMPUTED_VALUE"""),45996.6875)</f>
        <v>45996.6875</v>
      </c>
      <c r="C1039" s="4">
        <f>IFERROR(__xludf.DUMMYFUNCTION("""COMPUTED_VALUE"""),4242.8)</f>
        <v>4242.8</v>
      </c>
      <c r="D1039" s="4">
        <f t="shared" si="4"/>
        <v>0.006323319434</v>
      </c>
      <c r="E1039" s="2"/>
    </row>
    <row r="1040">
      <c r="A1040" s="1" t="s">
        <v>5</v>
      </c>
      <c r="B1040" s="3">
        <f>IFERROR(__xludf.DUMMYFUNCTION("""COMPUTED_VALUE"""),45999.6875)</f>
        <v>45999.6875</v>
      </c>
      <c r="C1040" s="4">
        <f>IFERROR(__xludf.DUMMYFUNCTION("""COMPUTED_VALUE"""),4160.0)</f>
        <v>4160</v>
      </c>
      <c r="D1040" s="4">
        <f t="shared" si="4"/>
        <v>-0.01951541435</v>
      </c>
      <c r="E1040" s="2"/>
    </row>
    <row r="1041">
      <c r="A1041" s="2"/>
      <c r="B1041" s="1"/>
      <c r="C1041" s="1"/>
      <c r="D1041" s="4"/>
      <c r="E1041" s="2"/>
    </row>
    <row r="1042">
      <c r="A1042" s="2"/>
      <c r="B1042" s="1"/>
      <c r="C1042" s="1"/>
      <c r="D1042" s="4"/>
      <c r="E1042" s="2"/>
    </row>
    <row r="1043">
      <c r="A1043" s="2"/>
      <c r="B1043" s="1"/>
      <c r="C1043" s="1"/>
      <c r="D1043" s="4"/>
      <c r="E1043" s="2"/>
    </row>
    <row r="1044">
      <c r="A1044" s="2"/>
      <c r="B1044" s="1"/>
      <c r="C1044" s="1"/>
      <c r="D1044" s="4"/>
      <c r="E1044" s="2"/>
    </row>
    <row r="1045">
      <c r="A1045" s="2"/>
      <c r="B1045" s="1"/>
      <c r="C1045" s="1"/>
      <c r="D1045" s="4"/>
      <c r="E1045" s="2"/>
    </row>
    <row r="1046">
      <c r="A1046" s="2"/>
      <c r="B1046" s="1"/>
      <c r="C1046" s="1"/>
      <c r="D1046" s="4"/>
      <c r="E1046" s="2"/>
    </row>
    <row r="1047">
      <c r="A1047" s="2"/>
      <c r="B1047" s="1"/>
      <c r="C1047" s="1"/>
      <c r="D1047" s="4"/>
      <c r="E1047" s="2"/>
    </row>
    <row r="1048">
      <c r="A1048" s="2"/>
      <c r="B1048" s="1"/>
      <c r="C1048" s="1"/>
      <c r="D1048" s="4"/>
      <c r="E1048" s="2"/>
    </row>
    <row r="1049">
      <c r="A1049" s="2"/>
      <c r="B1049" s="1"/>
      <c r="C1049" s="1"/>
      <c r="D1049" s="4"/>
      <c r="E1049" s="2"/>
    </row>
    <row r="1050">
      <c r="A1050" s="2"/>
      <c r="B1050" s="1" t="str">
        <f>IFERROR(__xludf.DUMMYFUNCTION("GOOGLEFINANCE(A1051,""Price"",edate(today(),-12),today())"),"Date")</f>
        <v>Date</v>
      </c>
      <c r="C1050" s="1" t="str">
        <f>IFERROR(__xludf.DUMMYFUNCTION("""COMPUTED_VALUE"""),"Close")</f>
        <v>Close</v>
      </c>
      <c r="D1050" s="4"/>
      <c r="E1050" s="2"/>
    </row>
    <row r="1051">
      <c r="A1051" s="1" t="s">
        <v>6</v>
      </c>
      <c r="B1051" s="3">
        <f>IFERROR(__xludf.DUMMYFUNCTION("""COMPUTED_VALUE"""),45635.66666666667)</f>
        <v>45635.66667</v>
      </c>
      <c r="C1051" s="4">
        <f>IFERROR(__xludf.DUMMYFUNCTION("""COMPUTED_VALUE"""),30.09)</f>
        <v>30.09</v>
      </c>
      <c r="D1051" s="4"/>
      <c r="E1051" s="2"/>
    </row>
    <row r="1052">
      <c r="A1052" s="1" t="s">
        <v>6</v>
      </c>
      <c r="B1052" s="3">
        <f>IFERROR(__xludf.DUMMYFUNCTION("""COMPUTED_VALUE"""),45636.66666666667)</f>
        <v>45636.66667</v>
      </c>
      <c r="C1052" s="4">
        <f>IFERROR(__xludf.DUMMYFUNCTION("""COMPUTED_VALUE"""),30.1)</f>
        <v>30.1</v>
      </c>
      <c r="D1052" s="4">
        <f t="shared" ref="D1052:D1300" si="5">(C1052-C1051)/C1051</f>
        <v>0.0003323363244</v>
      </c>
      <c r="E1052" s="2"/>
    </row>
    <row r="1053">
      <c r="A1053" s="1" t="s">
        <v>6</v>
      </c>
      <c r="B1053" s="3">
        <f>IFERROR(__xludf.DUMMYFUNCTION("""COMPUTED_VALUE"""),45637.66666666667)</f>
        <v>45637.66667</v>
      </c>
      <c r="C1053" s="4">
        <f>IFERROR(__xludf.DUMMYFUNCTION("""COMPUTED_VALUE"""),30.33)</f>
        <v>30.33</v>
      </c>
      <c r="D1053" s="4">
        <f t="shared" si="5"/>
        <v>0.007641196013</v>
      </c>
      <c r="E1053" s="2"/>
    </row>
    <row r="1054">
      <c r="A1054" s="1" t="s">
        <v>6</v>
      </c>
      <c r="B1054" s="3">
        <f>IFERROR(__xludf.DUMMYFUNCTION("""COMPUTED_VALUE"""),45638.66666666667)</f>
        <v>45638.66667</v>
      </c>
      <c r="C1054" s="4">
        <f>IFERROR(__xludf.DUMMYFUNCTION("""COMPUTED_VALUE"""),30.15)</f>
        <v>30.15</v>
      </c>
      <c r="D1054" s="4">
        <f t="shared" si="5"/>
        <v>-0.005934718101</v>
      </c>
      <c r="E1054" s="2"/>
    </row>
    <row r="1055">
      <c r="A1055" s="1" t="s">
        <v>6</v>
      </c>
      <c r="B1055" s="3">
        <f>IFERROR(__xludf.DUMMYFUNCTION("""COMPUTED_VALUE"""),45639.66666666667)</f>
        <v>45639.66667</v>
      </c>
      <c r="C1055" s="4">
        <f>IFERROR(__xludf.DUMMYFUNCTION("""COMPUTED_VALUE"""),29.98)</f>
        <v>29.98</v>
      </c>
      <c r="D1055" s="4">
        <f t="shared" si="5"/>
        <v>-0.005638474295</v>
      </c>
      <c r="E1055" s="2"/>
    </row>
    <row r="1056">
      <c r="A1056" s="1" t="s">
        <v>6</v>
      </c>
      <c r="B1056" s="3">
        <f>IFERROR(__xludf.DUMMYFUNCTION("""COMPUTED_VALUE"""),45642.66666666667)</f>
        <v>45642.66667</v>
      </c>
      <c r="C1056" s="4">
        <f>IFERROR(__xludf.DUMMYFUNCTION("""COMPUTED_VALUE"""),28.95)</f>
        <v>28.95</v>
      </c>
      <c r="D1056" s="4">
        <f t="shared" si="5"/>
        <v>-0.03435623749</v>
      </c>
      <c r="E1056" s="2"/>
    </row>
    <row r="1057">
      <c r="A1057" s="1" t="s">
        <v>6</v>
      </c>
      <c r="B1057" s="3">
        <f>IFERROR(__xludf.DUMMYFUNCTION("""COMPUTED_VALUE"""),45643.66666666667)</f>
        <v>45643.66667</v>
      </c>
      <c r="C1057" s="4">
        <f>IFERROR(__xludf.DUMMYFUNCTION("""COMPUTED_VALUE"""),29.08)</f>
        <v>29.08</v>
      </c>
      <c r="D1057" s="4">
        <f t="shared" si="5"/>
        <v>0.004490500864</v>
      </c>
      <c r="E1057" s="2"/>
    </row>
    <row r="1058">
      <c r="A1058" s="1" t="s">
        <v>6</v>
      </c>
      <c r="B1058" s="3">
        <f>IFERROR(__xludf.DUMMYFUNCTION("""COMPUTED_VALUE"""),45644.66666666667)</f>
        <v>45644.66667</v>
      </c>
      <c r="C1058" s="4">
        <f>IFERROR(__xludf.DUMMYFUNCTION("""COMPUTED_VALUE"""),28.54)</f>
        <v>28.54</v>
      </c>
      <c r="D1058" s="4">
        <f t="shared" si="5"/>
        <v>-0.01856946355</v>
      </c>
      <c r="E1058" s="2"/>
    </row>
    <row r="1059">
      <c r="A1059" s="1" t="s">
        <v>6</v>
      </c>
      <c r="B1059" s="3">
        <f>IFERROR(__xludf.DUMMYFUNCTION("""COMPUTED_VALUE"""),45645.66666666667)</f>
        <v>45645.66667</v>
      </c>
      <c r="C1059" s="4">
        <f>IFERROR(__xludf.DUMMYFUNCTION("""COMPUTED_VALUE"""),28.41)</f>
        <v>28.41</v>
      </c>
      <c r="D1059" s="4">
        <f t="shared" si="5"/>
        <v>-0.004555010512</v>
      </c>
      <c r="E1059" s="2"/>
    </row>
    <row r="1060">
      <c r="A1060" s="1" t="s">
        <v>6</v>
      </c>
      <c r="B1060" s="3">
        <f>IFERROR(__xludf.DUMMYFUNCTION("""COMPUTED_VALUE"""),45646.66666666667)</f>
        <v>45646.66667</v>
      </c>
      <c r="C1060" s="4">
        <f>IFERROR(__xludf.DUMMYFUNCTION("""COMPUTED_VALUE"""),28.6)</f>
        <v>28.6</v>
      </c>
      <c r="D1060" s="4">
        <f t="shared" si="5"/>
        <v>0.006687785991</v>
      </c>
      <c r="E1060" s="2"/>
    </row>
    <row r="1061">
      <c r="A1061" s="1" t="s">
        <v>6</v>
      </c>
      <c r="B1061" s="3">
        <f>IFERROR(__xludf.DUMMYFUNCTION("""COMPUTED_VALUE"""),45649.66666666667)</f>
        <v>45649.66667</v>
      </c>
      <c r="C1061" s="4">
        <f>IFERROR(__xludf.DUMMYFUNCTION("""COMPUTED_VALUE"""),28.75)</f>
        <v>28.75</v>
      </c>
      <c r="D1061" s="4">
        <f t="shared" si="5"/>
        <v>0.005244755245</v>
      </c>
      <c r="E1061" s="2"/>
    </row>
    <row r="1062">
      <c r="A1062" s="1" t="s">
        <v>6</v>
      </c>
      <c r="B1062" s="3">
        <f>IFERROR(__xludf.DUMMYFUNCTION("""COMPUTED_VALUE"""),45650.54166666667)</f>
        <v>45650.54167</v>
      </c>
      <c r="C1062" s="4">
        <f>IFERROR(__xludf.DUMMYFUNCTION("""COMPUTED_VALUE"""),28.79)</f>
        <v>28.79</v>
      </c>
      <c r="D1062" s="4">
        <f t="shared" si="5"/>
        <v>0.001391304348</v>
      </c>
      <c r="E1062" s="2"/>
    </row>
    <row r="1063">
      <c r="A1063" s="1" t="s">
        <v>6</v>
      </c>
      <c r="B1063" s="3">
        <f>IFERROR(__xludf.DUMMYFUNCTION("""COMPUTED_VALUE"""),45652.66666666667)</f>
        <v>45652.66667</v>
      </c>
      <c r="C1063" s="4">
        <f>IFERROR(__xludf.DUMMYFUNCTION("""COMPUTED_VALUE"""),28.85)</f>
        <v>28.85</v>
      </c>
      <c r="D1063" s="4">
        <f t="shared" si="5"/>
        <v>0.002084056964</v>
      </c>
      <c r="E1063" s="2"/>
    </row>
    <row r="1064">
      <c r="A1064" s="1" t="s">
        <v>6</v>
      </c>
      <c r="B1064" s="3">
        <f>IFERROR(__xludf.DUMMYFUNCTION("""COMPUTED_VALUE"""),45653.66666666667)</f>
        <v>45653.66667</v>
      </c>
      <c r="C1064" s="4">
        <f>IFERROR(__xludf.DUMMYFUNCTION("""COMPUTED_VALUE"""),28.96)</f>
        <v>28.96</v>
      </c>
      <c r="D1064" s="4">
        <f t="shared" si="5"/>
        <v>0.003812824957</v>
      </c>
      <c r="E1064" s="2"/>
    </row>
    <row r="1065">
      <c r="A1065" s="1" t="s">
        <v>6</v>
      </c>
      <c r="B1065" s="3">
        <f>IFERROR(__xludf.DUMMYFUNCTION("""COMPUTED_VALUE"""),45656.66666666667)</f>
        <v>45656.66667</v>
      </c>
      <c r="C1065" s="4">
        <f>IFERROR(__xludf.DUMMYFUNCTION("""COMPUTED_VALUE"""),29.09)</f>
        <v>29.09</v>
      </c>
      <c r="D1065" s="4">
        <f t="shared" si="5"/>
        <v>0.004488950276</v>
      </c>
      <c r="E1065" s="2"/>
    </row>
    <row r="1066">
      <c r="A1066" s="1" t="s">
        <v>6</v>
      </c>
      <c r="B1066" s="3">
        <f>IFERROR(__xludf.DUMMYFUNCTION("""COMPUTED_VALUE"""),45657.66666666667)</f>
        <v>45657.66667</v>
      </c>
      <c r="C1066" s="4">
        <f>IFERROR(__xludf.DUMMYFUNCTION("""COMPUTED_VALUE"""),29.56)</f>
        <v>29.56</v>
      </c>
      <c r="D1066" s="4">
        <f t="shared" si="5"/>
        <v>0.0161567549</v>
      </c>
      <c r="E1066" s="2"/>
    </row>
    <row r="1067">
      <c r="A1067" s="1" t="s">
        <v>6</v>
      </c>
      <c r="B1067" s="3">
        <f>IFERROR(__xludf.DUMMYFUNCTION("""COMPUTED_VALUE"""),45659.66666666667)</f>
        <v>45659.66667</v>
      </c>
      <c r="C1067" s="4">
        <f>IFERROR(__xludf.DUMMYFUNCTION("""COMPUTED_VALUE"""),29.93)</f>
        <v>29.93</v>
      </c>
      <c r="D1067" s="4">
        <f t="shared" si="5"/>
        <v>0.01251691475</v>
      </c>
      <c r="E1067" s="2"/>
    </row>
    <row r="1068">
      <c r="A1068" s="1" t="s">
        <v>6</v>
      </c>
      <c r="B1068" s="3">
        <f>IFERROR(__xludf.DUMMYFUNCTION("""COMPUTED_VALUE"""),45660.66666666667)</f>
        <v>45660.66667</v>
      </c>
      <c r="C1068" s="4">
        <f>IFERROR(__xludf.DUMMYFUNCTION("""COMPUTED_VALUE"""),30.47)</f>
        <v>30.47</v>
      </c>
      <c r="D1068" s="4">
        <f t="shared" si="5"/>
        <v>0.01804209823</v>
      </c>
      <c r="E1068" s="2"/>
    </row>
    <row r="1069">
      <c r="A1069" s="1" t="s">
        <v>6</v>
      </c>
      <c r="B1069" s="3">
        <f>IFERROR(__xludf.DUMMYFUNCTION("""COMPUTED_VALUE"""),45663.66666666667)</f>
        <v>45663.66667</v>
      </c>
      <c r="C1069" s="4">
        <f>IFERROR(__xludf.DUMMYFUNCTION("""COMPUTED_VALUE"""),31.02)</f>
        <v>31.02</v>
      </c>
      <c r="D1069" s="4">
        <f t="shared" si="5"/>
        <v>0.01805054152</v>
      </c>
      <c r="E1069" s="2"/>
    </row>
    <row r="1070">
      <c r="A1070" s="1" t="s">
        <v>6</v>
      </c>
      <c r="B1070" s="3">
        <f>IFERROR(__xludf.DUMMYFUNCTION("""COMPUTED_VALUE"""),45664.66666666667)</f>
        <v>45664.66667</v>
      </c>
      <c r="C1070" s="4">
        <f>IFERROR(__xludf.DUMMYFUNCTION("""COMPUTED_VALUE"""),31.83)</f>
        <v>31.83</v>
      </c>
      <c r="D1070" s="4">
        <f t="shared" si="5"/>
        <v>0.02611218569</v>
      </c>
      <c r="E1070" s="2"/>
    </row>
    <row r="1071">
      <c r="A1071" s="1" t="s">
        <v>6</v>
      </c>
      <c r="B1071" s="3">
        <f>IFERROR(__xludf.DUMMYFUNCTION("""COMPUTED_VALUE"""),45665.66666666667)</f>
        <v>45665.66667</v>
      </c>
      <c r="C1071" s="4">
        <f>IFERROR(__xludf.DUMMYFUNCTION("""COMPUTED_VALUE"""),31.12)</f>
        <v>31.12</v>
      </c>
      <c r="D1071" s="4">
        <f t="shared" si="5"/>
        <v>-0.02230600063</v>
      </c>
      <c r="E1071" s="2"/>
    </row>
    <row r="1072">
      <c r="A1072" s="1" t="s">
        <v>6</v>
      </c>
      <c r="B1072" s="3">
        <f>IFERROR(__xludf.DUMMYFUNCTION("""COMPUTED_VALUE"""),45667.66666666667)</f>
        <v>45667.66667</v>
      </c>
      <c r="C1072" s="4">
        <f>IFERROR(__xludf.DUMMYFUNCTION("""COMPUTED_VALUE"""),31.29)</f>
        <v>31.29</v>
      </c>
      <c r="D1072" s="4">
        <f t="shared" si="5"/>
        <v>0.005462724936</v>
      </c>
      <c r="E1072" s="2"/>
    </row>
    <row r="1073">
      <c r="A1073" s="1" t="s">
        <v>6</v>
      </c>
      <c r="B1073" s="3">
        <f>IFERROR(__xludf.DUMMYFUNCTION("""COMPUTED_VALUE"""),45670.66666666667)</f>
        <v>45670.66667</v>
      </c>
      <c r="C1073" s="4">
        <f>IFERROR(__xludf.DUMMYFUNCTION("""COMPUTED_VALUE"""),31.22)</f>
        <v>31.22</v>
      </c>
      <c r="D1073" s="4">
        <f t="shared" si="5"/>
        <v>-0.002237136465</v>
      </c>
      <c r="E1073" s="2"/>
    </row>
    <row r="1074">
      <c r="A1074" s="1" t="s">
        <v>6</v>
      </c>
      <c r="B1074" s="3">
        <f>IFERROR(__xludf.DUMMYFUNCTION("""COMPUTED_VALUE"""),45671.66666666667)</f>
        <v>45671.66667</v>
      </c>
      <c r="C1074" s="4">
        <f>IFERROR(__xludf.DUMMYFUNCTION("""COMPUTED_VALUE"""),31.09)</f>
        <v>31.09</v>
      </c>
      <c r="D1074" s="4">
        <f t="shared" si="5"/>
        <v>-0.004163997438</v>
      </c>
      <c r="E1074" s="2"/>
    </row>
    <row r="1075">
      <c r="A1075" s="1" t="s">
        <v>6</v>
      </c>
      <c r="B1075" s="3">
        <f>IFERROR(__xludf.DUMMYFUNCTION("""COMPUTED_VALUE"""),45672.66666666667)</f>
        <v>45672.66667</v>
      </c>
      <c r="C1075" s="4">
        <f>IFERROR(__xludf.DUMMYFUNCTION("""COMPUTED_VALUE"""),31.3)</f>
        <v>31.3</v>
      </c>
      <c r="D1075" s="4">
        <f t="shared" si="5"/>
        <v>0.006754583467</v>
      </c>
      <c r="E1075" s="2"/>
    </row>
    <row r="1076">
      <c r="A1076" s="1" t="s">
        <v>6</v>
      </c>
      <c r="B1076" s="3">
        <f>IFERROR(__xludf.DUMMYFUNCTION("""COMPUTED_VALUE"""),45673.66666666667)</f>
        <v>45673.66667</v>
      </c>
      <c r="C1076" s="4">
        <f>IFERROR(__xludf.DUMMYFUNCTION("""COMPUTED_VALUE"""),31.78)</f>
        <v>31.78</v>
      </c>
      <c r="D1076" s="4">
        <f t="shared" si="5"/>
        <v>0.01533546326</v>
      </c>
      <c r="E1076" s="2"/>
    </row>
    <row r="1077">
      <c r="A1077" s="1" t="s">
        <v>6</v>
      </c>
      <c r="B1077" s="3">
        <f>IFERROR(__xludf.DUMMYFUNCTION("""COMPUTED_VALUE"""),45674.66666666667)</f>
        <v>45674.66667</v>
      </c>
      <c r="C1077" s="4">
        <f>IFERROR(__xludf.DUMMYFUNCTION("""COMPUTED_VALUE"""),31.69)</f>
        <v>31.69</v>
      </c>
      <c r="D1077" s="4">
        <f t="shared" si="5"/>
        <v>-0.002831969792</v>
      </c>
      <c r="E1077" s="2"/>
    </row>
    <row r="1078">
      <c r="A1078" s="1" t="s">
        <v>6</v>
      </c>
      <c r="B1078" s="3">
        <f>IFERROR(__xludf.DUMMYFUNCTION("""COMPUTED_VALUE"""),45678.66666666667)</f>
        <v>45678.66667</v>
      </c>
      <c r="C1078" s="4">
        <f>IFERROR(__xludf.DUMMYFUNCTION("""COMPUTED_VALUE"""),31.52)</f>
        <v>31.52</v>
      </c>
      <c r="D1078" s="4">
        <f t="shared" si="5"/>
        <v>-0.005364468287</v>
      </c>
      <c r="E1078" s="2"/>
    </row>
    <row r="1079">
      <c r="A1079" s="1" t="s">
        <v>6</v>
      </c>
      <c r="B1079" s="3">
        <f>IFERROR(__xludf.DUMMYFUNCTION("""COMPUTED_VALUE"""),45679.66666666667)</f>
        <v>45679.66667</v>
      </c>
      <c r="C1079" s="4">
        <f>IFERROR(__xludf.DUMMYFUNCTION("""COMPUTED_VALUE"""),31.13)</f>
        <v>31.13</v>
      </c>
      <c r="D1079" s="4">
        <f t="shared" si="5"/>
        <v>-0.01237309645</v>
      </c>
      <c r="E1079" s="2"/>
    </row>
    <row r="1080">
      <c r="A1080" s="1" t="s">
        <v>6</v>
      </c>
      <c r="B1080" s="3">
        <f>IFERROR(__xludf.DUMMYFUNCTION("""COMPUTED_VALUE"""),45680.66666666667)</f>
        <v>45680.66667</v>
      </c>
      <c r="C1080" s="4">
        <f>IFERROR(__xludf.DUMMYFUNCTION("""COMPUTED_VALUE"""),31.49)</f>
        <v>31.49</v>
      </c>
      <c r="D1080" s="4">
        <f t="shared" si="5"/>
        <v>0.01156440732</v>
      </c>
      <c r="E1080" s="2"/>
    </row>
    <row r="1081">
      <c r="A1081" s="1" t="s">
        <v>6</v>
      </c>
      <c r="B1081" s="3">
        <f>IFERROR(__xludf.DUMMYFUNCTION("""COMPUTED_VALUE"""),45681.66666666667)</f>
        <v>45681.66667</v>
      </c>
      <c r="C1081" s="4">
        <f>IFERROR(__xludf.DUMMYFUNCTION("""COMPUTED_VALUE"""),31.45)</f>
        <v>31.45</v>
      </c>
      <c r="D1081" s="4">
        <f t="shared" si="5"/>
        <v>-0.001270244522</v>
      </c>
      <c r="E1081" s="2"/>
    </row>
    <row r="1082">
      <c r="A1082" s="1" t="s">
        <v>6</v>
      </c>
      <c r="B1082" s="3">
        <f>IFERROR(__xludf.DUMMYFUNCTION("""COMPUTED_VALUE"""),45684.66666666667)</f>
        <v>45684.66667</v>
      </c>
      <c r="C1082" s="4">
        <f>IFERROR(__xludf.DUMMYFUNCTION("""COMPUTED_VALUE"""),31.45)</f>
        <v>31.45</v>
      </c>
      <c r="D1082" s="4">
        <f t="shared" si="5"/>
        <v>0</v>
      </c>
      <c r="E1082" s="2"/>
    </row>
    <row r="1083">
      <c r="A1083" s="1" t="s">
        <v>6</v>
      </c>
      <c r="B1083" s="3">
        <f>IFERROR(__xludf.DUMMYFUNCTION("""COMPUTED_VALUE"""),45685.66666666667)</f>
        <v>45685.66667</v>
      </c>
      <c r="C1083" s="4">
        <f>IFERROR(__xludf.DUMMYFUNCTION("""COMPUTED_VALUE"""),31.16)</f>
        <v>31.16</v>
      </c>
      <c r="D1083" s="4">
        <f t="shared" si="5"/>
        <v>-0.009220985692</v>
      </c>
      <c r="E1083" s="2"/>
    </row>
    <row r="1084">
      <c r="A1084" s="1" t="s">
        <v>6</v>
      </c>
      <c r="B1084" s="3">
        <f>IFERROR(__xludf.DUMMYFUNCTION("""COMPUTED_VALUE"""),45686.66666666667)</f>
        <v>45686.66667</v>
      </c>
      <c r="C1084" s="4">
        <f>IFERROR(__xludf.DUMMYFUNCTION("""COMPUTED_VALUE"""),31.13)</f>
        <v>31.13</v>
      </c>
      <c r="D1084" s="4">
        <f t="shared" si="5"/>
        <v>-0.0009627727856</v>
      </c>
      <c r="E1084" s="2"/>
    </row>
    <row r="1085">
      <c r="A1085" s="1" t="s">
        <v>6</v>
      </c>
      <c r="B1085" s="3">
        <f>IFERROR(__xludf.DUMMYFUNCTION("""COMPUTED_VALUE"""),45687.66666666667)</f>
        <v>45687.66667</v>
      </c>
      <c r="C1085" s="4">
        <f>IFERROR(__xludf.DUMMYFUNCTION("""COMPUTED_VALUE"""),31.61)</f>
        <v>31.61</v>
      </c>
      <c r="D1085" s="4">
        <f t="shared" si="5"/>
        <v>0.01541920977</v>
      </c>
      <c r="E1085" s="2"/>
    </row>
    <row r="1086">
      <c r="A1086" s="1" t="s">
        <v>6</v>
      </c>
      <c r="B1086" s="3">
        <f>IFERROR(__xludf.DUMMYFUNCTION("""COMPUTED_VALUE"""),45688.66666666667)</f>
        <v>45688.66667</v>
      </c>
      <c r="C1086" s="4">
        <f>IFERROR(__xludf.DUMMYFUNCTION("""COMPUTED_VALUE"""),31.06)</f>
        <v>31.06</v>
      </c>
      <c r="D1086" s="4">
        <f t="shared" si="5"/>
        <v>-0.0173995571</v>
      </c>
      <c r="E1086" s="2"/>
    </row>
    <row r="1087">
      <c r="A1087" s="1" t="s">
        <v>6</v>
      </c>
      <c r="B1087" s="3">
        <f>IFERROR(__xludf.DUMMYFUNCTION("""COMPUTED_VALUE"""),45691.66666666667)</f>
        <v>45691.66667</v>
      </c>
      <c r="C1087" s="4">
        <f>IFERROR(__xludf.DUMMYFUNCTION("""COMPUTED_VALUE"""),30.87)</f>
        <v>30.87</v>
      </c>
      <c r="D1087" s="4">
        <f t="shared" si="5"/>
        <v>-0.006117192531</v>
      </c>
      <c r="E1087" s="2"/>
    </row>
    <row r="1088">
      <c r="A1088" s="1" t="s">
        <v>6</v>
      </c>
      <c r="B1088" s="3">
        <f>IFERROR(__xludf.DUMMYFUNCTION("""COMPUTED_VALUE"""),45692.66666666667)</f>
        <v>45692.66667</v>
      </c>
      <c r="C1088" s="4">
        <f>IFERROR(__xludf.DUMMYFUNCTION("""COMPUTED_VALUE"""),31.64)</f>
        <v>31.64</v>
      </c>
      <c r="D1088" s="4">
        <f t="shared" si="5"/>
        <v>0.02494331066</v>
      </c>
      <c r="E1088" s="2"/>
    </row>
    <row r="1089">
      <c r="A1089" s="1" t="s">
        <v>6</v>
      </c>
      <c r="B1089" s="3">
        <f>IFERROR(__xludf.DUMMYFUNCTION("""COMPUTED_VALUE"""),45693.66666666667)</f>
        <v>45693.66667</v>
      </c>
      <c r="C1089" s="4">
        <f>IFERROR(__xludf.DUMMYFUNCTION("""COMPUTED_VALUE"""),31.67)</f>
        <v>31.67</v>
      </c>
      <c r="D1089" s="4">
        <f t="shared" si="5"/>
        <v>0.0009481668774</v>
      </c>
      <c r="E1089" s="2"/>
    </row>
    <row r="1090">
      <c r="A1090" s="1" t="s">
        <v>6</v>
      </c>
      <c r="B1090" s="3">
        <f>IFERROR(__xludf.DUMMYFUNCTION("""COMPUTED_VALUE"""),45694.66666666667)</f>
        <v>45694.66667</v>
      </c>
      <c r="C1090" s="4">
        <f>IFERROR(__xludf.DUMMYFUNCTION("""COMPUTED_VALUE"""),31.96)</f>
        <v>31.96</v>
      </c>
      <c r="D1090" s="4">
        <f t="shared" si="5"/>
        <v>0.009156930849</v>
      </c>
      <c r="E1090" s="2"/>
    </row>
    <row r="1091">
      <c r="A1091" s="1" t="s">
        <v>6</v>
      </c>
      <c r="B1091" s="3">
        <f>IFERROR(__xludf.DUMMYFUNCTION("""COMPUTED_VALUE"""),45695.66666666667)</f>
        <v>45695.66667</v>
      </c>
      <c r="C1091" s="4">
        <f>IFERROR(__xludf.DUMMYFUNCTION("""COMPUTED_VALUE"""),32.27)</f>
        <v>32.27</v>
      </c>
      <c r="D1091" s="4">
        <f t="shared" si="5"/>
        <v>0.009699624531</v>
      </c>
      <c r="E1091" s="2"/>
    </row>
    <row r="1092">
      <c r="A1092" s="1" t="s">
        <v>6</v>
      </c>
      <c r="B1092" s="3">
        <f>IFERROR(__xludf.DUMMYFUNCTION("""COMPUTED_VALUE"""),45698.66666666667)</f>
        <v>45698.66667</v>
      </c>
      <c r="C1092" s="4">
        <f>IFERROR(__xludf.DUMMYFUNCTION("""COMPUTED_VALUE"""),34.42)</f>
        <v>34.42</v>
      </c>
      <c r="D1092" s="4">
        <f t="shared" si="5"/>
        <v>0.06662534862</v>
      </c>
      <c r="E1092" s="2"/>
    </row>
    <row r="1093">
      <c r="A1093" s="1" t="s">
        <v>6</v>
      </c>
      <c r="B1093" s="3">
        <f>IFERROR(__xludf.DUMMYFUNCTION("""COMPUTED_VALUE"""),45699.66666666667)</f>
        <v>45699.66667</v>
      </c>
      <c r="C1093" s="4">
        <f>IFERROR(__xludf.DUMMYFUNCTION("""COMPUTED_VALUE"""),34.55)</f>
        <v>34.55</v>
      </c>
      <c r="D1093" s="4">
        <f t="shared" si="5"/>
        <v>0.003776873911</v>
      </c>
      <c r="E1093" s="2"/>
    </row>
    <row r="1094">
      <c r="A1094" s="1" t="s">
        <v>6</v>
      </c>
      <c r="B1094" s="3">
        <f>IFERROR(__xludf.DUMMYFUNCTION("""COMPUTED_VALUE"""),45700.66666666667)</f>
        <v>45700.66667</v>
      </c>
      <c r="C1094" s="4">
        <f>IFERROR(__xludf.DUMMYFUNCTION("""COMPUTED_VALUE"""),34.68)</f>
        <v>34.68</v>
      </c>
      <c r="D1094" s="4">
        <f t="shared" si="5"/>
        <v>0.003762662808</v>
      </c>
      <c r="E1094" s="2"/>
    </row>
    <row r="1095">
      <c r="A1095" s="1" t="s">
        <v>6</v>
      </c>
      <c r="B1095" s="3">
        <f>IFERROR(__xludf.DUMMYFUNCTION("""COMPUTED_VALUE"""),45701.66666666667)</f>
        <v>45701.66667</v>
      </c>
      <c r="C1095" s="4">
        <f>IFERROR(__xludf.DUMMYFUNCTION("""COMPUTED_VALUE"""),34.49)</f>
        <v>34.49</v>
      </c>
      <c r="D1095" s="4">
        <f t="shared" si="5"/>
        <v>-0.005478662053</v>
      </c>
      <c r="E1095" s="2"/>
    </row>
    <row r="1096">
      <c r="A1096" s="1" t="s">
        <v>6</v>
      </c>
      <c r="B1096" s="3">
        <f>IFERROR(__xludf.DUMMYFUNCTION("""COMPUTED_VALUE"""),45702.66666666667)</f>
        <v>45702.66667</v>
      </c>
      <c r="C1096" s="4">
        <f>IFERROR(__xludf.DUMMYFUNCTION("""COMPUTED_VALUE"""),35.0)</f>
        <v>35</v>
      </c>
      <c r="D1096" s="4">
        <f t="shared" si="5"/>
        <v>0.01478689475</v>
      </c>
      <c r="E1096" s="2"/>
    </row>
    <row r="1097">
      <c r="A1097" s="1" t="s">
        <v>6</v>
      </c>
      <c r="B1097" s="3">
        <f>IFERROR(__xludf.DUMMYFUNCTION("""COMPUTED_VALUE"""),45706.66666666667)</f>
        <v>45706.66667</v>
      </c>
      <c r="C1097" s="4">
        <f>IFERROR(__xludf.DUMMYFUNCTION("""COMPUTED_VALUE"""),35.31)</f>
        <v>35.31</v>
      </c>
      <c r="D1097" s="4">
        <f t="shared" si="5"/>
        <v>0.008857142857</v>
      </c>
      <c r="E1097" s="2"/>
    </row>
    <row r="1098">
      <c r="A1098" s="1" t="s">
        <v>6</v>
      </c>
      <c r="B1098" s="3">
        <f>IFERROR(__xludf.DUMMYFUNCTION("""COMPUTED_VALUE"""),45707.66666666667)</f>
        <v>45707.66667</v>
      </c>
      <c r="C1098" s="4">
        <f>IFERROR(__xludf.DUMMYFUNCTION("""COMPUTED_VALUE"""),34.54)</f>
        <v>34.54</v>
      </c>
      <c r="D1098" s="4">
        <f t="shared" si="5"/>
        <v>-0.02180685358</v>
      </c>
      <c r="E1098" s="2"/>
    </row>
    <row r="1099">
      <c r="A1099" s="1" t="s">
        <v>6</v>
      </c>
      <c r="B1099" s="3">
        <f>IFERROR(__xludf.DUMMYFUNCTION("""COMPUTED_VALUE"""),45708.66666666667)</f>
        <v>45708.66667</v>
      </c>
      <c r="C1099" s="4">
        <f>IFERROR(__xludf.DUMMYFUNCTION("""COMPUTED_VALUE"""),34.65)</f>
        <v>34.65</v>
      </c>
      <c r="D1099" s="4">
        <f t="shared" si="5"/>
        <v>0.003184713376</v>
      </c>
      <c r="E1099" s="2"/>
    </row>
    <row r="1100">
      <c r="A1100" s="1" t="s">
        <v>6</v>
      </c>
      <c r="B1100" s="3">
        <f>IFERROR(__xludf.DUMMYFUNCTION("""COMPUTED_VALUE"""),45709.66666666667)</f>
        <v>45709.66667</v>
      </c>
      <c r="C1100" s="4">
        <f>IFERROR(__xludf.DUMMYFUNCTION("""COMPUTED_VALUE"""),33.89)</f>
        <v>33.89</v>
      </c>
      <c r="D1100" s="4">
        <f t="shared" si="5"/>
        <v>-0.02193362193</v>
      </c>
      <c r="E1100" s="2"/>
    </row>
    <row r="1101">
      <c r="A1101" s="1" t="s">
        <v>6</v>
      </c>
      <c r="B1101" s="3">
        <f>IFERROR(__xludf.DUMMYFUNCTION("""COMPUTED_VALUE"""),45712.66666666667)</f>
        <v>45712.66667</v>
      </c>
      <c r="C1101" s="4">
        <f>IFERROR(__xludf.DUMMYFUNCTION("""COMPUTED_VALUE"""),33.74)</f>
        <v>33.74</v>
      </c>
      <c r="D1101" s="4">
        <f t="shared" si="5"/>
        <v>-0.004426084391</v>
      </c>
      <c r="E1101" s="2"/>
    </row>
    <row r="1102">
      <c r="A1102" s="1" t="s">
        <v>6</v>
      </c>
      <c r="B1102" s="3">
        <f>IFERROR(__xludf.DUMMYFUNCTION("""COMPUTED_VALUE"""),45713.66666666667)</f>
        <v>45713.66667</v>
      </c>
      <c r="C1102" s="4">
        <f>IFERROR(__xludf.DUMMYFUNCTION("""COMPUTED_VALUE"""),33.23)</f>
        <v>33.23</v>
      </c>
      <c r="D1102" s="4">
        <f t="shared" si="5"/>
        <v>-0.0151155898</v>
      </c>
      <c r="E1102" s="2"/>
    </row>
    <row r="1103">
      <c r="A1103" s="1" t="s">
        <v>6</v>
      </c>
      <c r="B1103" s="3">
        <f>IFERROR(__xludf.DUMMYFUNCTION("""COMPUTED_VALUE"""),45714.66666666667)</f>
        <v>45714.66667</v>
      </c>
      <c r="C1103" s="4">
        <f>IFERROR(__xludf.DUMMYFUNCTION("""COMPUTED_VALUE"""),32.68)</f>
        <v>32.68</v>
      </c>
      <c r="D1103" s="4">
        <f t="shared" si="5"/>
        <v>-0.01655130906</v>
      </c>
      <c r="E1103" s="2"/>
    </row>
    <row r="1104">
      <c r="A1104" s="1" t="s">
        <v>6</v>
      </c>
      <c r="B1104" s="3">
        <f>IFERROR(__xludf.DUMMYFUNCTION("""COMPUTED_VALUE"""),45715.66666666667)</f>
        <v>45715.66667</v>
      </c>
      <c r="C1104" s="4">
        <f>IFERROR(__xludf.DUMMYFUNCTION("""COMPUTED_VALUE"""),33.12)</f>
        <v>33.12</v>
      </c>
      <c r="D1104" s="4">
        <f t="shared" si="5"/>
        <v>0.01346389229</v>
      </c>
      <c r="E1104" s="2"/>
    </row>
    <row r="1105">
      <c r="A1105" s="1" t="s">
        <v>6</v>
      </c>
      <c r="B1105" s="3">
        <f>IFERROR(__xludf.DUMMYFUNCTION("""COMPUTED_VALUE"""),45716.66666666667)</f>
        <v>45716.66667</v>
      </c>
      <c r="C1105" s="4">
        <f>IFERROR(__xludf.DUMMYFUNCTION("""COMPUTED_VALUE"""),33.12)</f>
        <v>33.12</v>
      </c>
      <c r="D1105" s="4">
        <f t="shared" si="5"/>
        <v>0</v>
      </c>
      <c r="E1105" s="2"/>
    </row>
    <row r="1106">
      <c r="A1106" s="1" t="s">
        <v>6</v>
      </c>
      <c r="B1106" s="3">
        <f>IFERROR(__xludf.DUMMYFUNCTION("""COMPUTED_VALUE"""),45719.66666666667)</f>
        <v>45719.66667</v>
      </c>
      <c r="C1106" s="4">
        <f>IFERROR(__xludf.DUMMYFUNCTION("""COMPUTED_VALUE"""),31.81)</f>
        <v>31.81</v>
      </c>
      <c r="D1106" s="4">
        <f t="shared" si="5"/>
        <v>-0.0395531401</v>
      </c>
      <c r="E1106" s="2"/>
    </row>
    <row r="1107">
      <c r="A1107" s="1" t="s">
        <v>6</v>
      </c>
      <c r="B1107" s="3">
        <f>IFERROR(__xludf.DUMMYFUNCTION("""COMPUTED_VALUE"""),45720.66666666667)</f>
        <v>45720.66667</v>
      </c>
      <c r="C1107" s="4">
        <f>IFERROR(__xludf.DUMMYFUNCTION("""COMPUTED_VALUE"""),31.44)</f>
        <v>31.44</v>
      </c>
      <c r="D1107" s="4">
        <f t="shared" si="5"/>
        <v>-0.0116315624</v>
      </c>
      <c r="E1107" s="2"/>
    </row>
    <row r="1108">
      <c r="A1108" s="1" t="s">
        <v>6</v>
      </c>
      <c r="B1108" s="3">
        <f>IFERROR(__xludf.DUMMYFUNCTION("""COMPUTED_VALUE"""),45721.66666666667)</f>
        <v>45721.66667</v>
      </c>
      <c r="C1108" s="4">
        <f>IFERROR(__xludf.DUMMYFUNCTION("""COMPUTED_VALUE"""),31.88)</f>
        <v>31.88</v>
      </c>
      <c r="D1108" s="4">
        <f t="shared" si="5"/>
        <v>0.01399491094</v>
      </c>
      <c r="E1108" s="2"/>
    </row>
    <row r="1109">
      <c r="A1109" s="1" t="s">
        <v>6</v>
      </c>
      <c r="B1109" s="3">
        <f>IFERROR(__xludf.DUMMYFUNCTION("""COMPUTED_VALUE"""),45722.66666666667)</f>
        <v>45722.66667</v>
      </c>
      <c r="C1109" s="4">
        <f>IFERROR(__xludf.DUMMYFUNCTION("""COMPUTED_VALUE"""),31.71)</f>
        <v>31.71</v>
      </c>
      <c r="D1109" s="4">
        <f t="shared" si="5"/>
        <v>-0.005332496863</v>
      </c>
      <c r="E1109" s="2"/>
    </row>
    <row r="1110">
      <c r="A1110" s="1" t="s">
        <v>6</v>
      </c>
      <c r="B1110" s="3">
        <f>IFERROR(__xludf.DUMMYFUNCTION("""COMPUTED_VALUE"""),45723.66666666667)</f>
        <v>45723.66667</v>
      </c>
      <c r="C1110" s="4">
        <f>IFERROR(__xludf.DUMMYFUNCTION("""COMPUTED_VALUE"""),32.07)</f>
        <v>32.07</v>
      </c>
      <c r="D1110" s="4">
        <f t="shared" si="5"/>
        <v>0.01135288553</v>
      </c>
      <c r="E1110" s="2"/>
    </row>
    <row r="1111">
      <c r="A1111" s="1" t="s">
        <v>6</v>
      </c>
      <c r="B1111" s="3">
        <f>IFERROR(__xludf.DUMMYFUNCTION("""COMPUTED_VALUE"""),45726.66666666667)</f>
        <v>45726.66667</v>
      </c>
      <c r="C1111" s="4">
        <f>IFERROR(__xludf.DUMMYFUNCTION("""COMPUTED_VALUE"""),32.21)</f>
        <v>32.21</v>
      </c>
      <c r="D1111" s="4">
        <f t="shared" si="5"/>
        <v>0.004365450577</v>
      </c>
      <c r="E1111" s="2"/>
    </row>
    <row r="1112">
      <c r="A1112" s="1" t="s">
        <v>6</v>
      </c>
      <c r="B1112" s="3">
        <f>IFERROR(__xludf.DUMMYFUNCTION("""COMPUTED_VALUE"""),45727.66666666667)</f>
        <v>45727.66667</v>
      </c>
      <c r="C1112" s="4">
        <f>IFERROR(__xludf.DUMMYFUNCTION("""COMPUTED_VALUE"""),31.98)</f>
        <v>31.98</v>
      </c>
      <c r="D1112" s="4">
        <f t="shared" si="5"/>
        <v>-0.007140639553</v>
      </c>
      <c r="E1112" s="2"/>
    </row>
    <row r="1113">
      <c r="A1113" s="1" t="s">
        <v>6</v>
      </c>
      <c r="B1113" s="3">
        <f>IFERROR(__xludf.DUMMYFUNCTION("""COMPUTED_VALUE"""),45728.66666666667)</f>
        <v>45728.66667</v>
      </c>
      <c r="C1113" s="4">
        <f>IFERROR(__xludf.DUMMYFUNCTION("""COMPUTED_VALUE"""),32.2)</f>
        <v>32.2</v>
      </c>
      <c r="D1113" s="4">
        <f t="shared" si="5"/>
        <v>0.006879299562</v>
      </c>
      <c r="E1113" s="2"/>
    </row>
    <row r="1114">
      <c r="A1114" s="1" t="s">
        <v>6</v>
      </c>
      <c r="B1114" s="3">
        <f>IFERROR(__xludf.DUMMYFUNCTION("""COMPUTED_VALUE"""),45729.66666666667)</f>
        <v>45729.66667</v>
      </c>
      <c r="C1114" s="4">
        <f>IFERROR(__xludf.DUMMYFUNCTION("""COMPUTED_VALUE"""),32.37)</f>
        <v>32.37</v>
      </c>
      <c r="D1114" s="4">
        <f t="shared" si="5"/>
        <v>0.005279503106</v>
      </c>
      <c r="E1114" s="2"/>
    </row>
    <row r="1115">
      <c r="A1115" s="1" t="s">
        <v>6</v>
      </c>
      <c r="B1115" s="3">
        <f>IFERROR(__xludf.DUMMYFUNCTION("""COMPUTED_VALUE"""),45730.66666666667)</f>
        <v>45730.66667</v>
      </c>
      <c r="C1115" s="4">
        <f>IFERROR(__xludf.DUMMYFUNCTION("""COMPUTED_VALUE"""),33.39)</f>
        <v>33.39</v>
      </c>
      <c r="D1115" s="4">
        <f t="shared" si="5"/>
        <v>0.03151065802</v>
      </c>
      <c r="E1115" s="2"/>
    </row>
    <row r="1116">
      <c r="A1116" s="1" t="s">
        <v>6</v>
      </c>
      <c r="B1116" s="3">
        <f>IFERROR(__xludf.DUMMYFUNCTION("""COMPUTED_VALUE"""),45733.66666666667)</f>
        <v>45733.66667</v>
      </c>
      <c r="C1116" s="4">
        <f>IFERROR(__xludf.DUMMYFUNCTION("""COMPUTED_VALUE"""),33.76)</f>
        <v>33.76</v>
      </c>
      <c r="D1116" s="4">
        <f t="shared" si="5"/>
        <v>0.01108116202</v>
      </c>
      <c r="E1116" s="2"/>
    </row>
    <row r="1117">
      <c r="A1117" s="1" t="s">
        <v>6</v>
      </c>
      <c r="B1117" s="3">
        <f>IFERROR(__xludf.DUMMYFUNCTION("""COMPUTED_VALUE"""),45734.66666666667)</f>
        <v>45734.66667</v>
      </c>
      <c r="C1117" s="4">
        <f>IFERROR(__xludf.DUMMYFUNCTION("""COMPUTED_VALUE"""),34.22)</f>
        <v>34.22</v>
      </c>
      <c r="D1117" s="4">
        <f t="shared" si="5"/>
        <v>0.01362559242</v>
      </c>
      <c r="E1117" s="2"/>
    </row>
    <row r="1118">
      <c r="A1118" s="1" t="s">
        <v>6</v>
      </c>
      <c r="B1118" s="3">
        <f>IFERROR(__xludf.DUMMYFUNCTION("""COMPUTED_VALUE"""),45735.66666666667)</f>
        <v>45735.66667</v>
      </c>
      <c r="C1118" s="4">
        <f>IFERROR(__xludf.DUMMYFUNCTION("""COMPUTED_VALUE"""),34.61)</f>
        <v>34.61</v>
      </c>
      <c r="D1118" s="4">
        <f t="shared" si="5"/>
        <v>0.01139684395</v>
      </c>
      <c r="E1118" s="2"/>
    </row>
    <row r="1119">
      <c r="A1119" s="1" t="s">
        <v>6</v>
      </c>
      <c r="B1119" s="3">
        <f>IFERROR(__xludf.DUMMYFUNCTION("""COMPUTED_VALUE"""),45736.66666666667)</f>
        <v>45736.66667</v>
      </c>
      <c r="C1119" s="4">
        <f>IFERROR(__xludf.DUMMYFUNCTION("""COMPUTED_VALUE"""),34.75)</f>
        <v>34.75</v>
      </c>
      <c r="D1119" s="4">
        <f t="shared" si="5"/>
        <v>0.004045073678</v>
      </c>
      <c r="E1119" s="2"/>
    </row>
    <row r="1120">
      <c r="A1120" s="1" t="s">
        <v>6</v>
      </c>
      <c r="B1120" s="3">
        <f>IFERROR(__xludf.DUMMYFUNCTION("""COMPUTED_VALUE"""),45737.66666666667)</f>
        <v>45737.66667</v>
      </c>
      <c r="C1120" s="4">
        <f>IFERROR(__xludf.DUMMYFUNCTION("""COMPUTED_VALUE"""),34.55)</f>
        <v>34.55</v>
      </c>
      <c r="D1120" s="4">
        <f t="shared" si="5"/>
        <v>-0.005755395683</v>
      </c>
      <c r="E1120" s="2"/>
    </row>
    <row r="1121">
      <c r="A1121" s="1" t="s">
        <v>6</v>
      </c>
      <c r="B1121" s="3">
        <f>IFERROR(__xludf.DUMMYFUNCTION("""COMPUTED_VALUE"""),45740.66666666667)</f>
        <v>45740.66667</v>
      </c>
      <c r="C1121" s="4">
        <f>IFERROR(__xludf.DUMMYFUNCTION("""COMPUTED_VALUE"""),34.11)</f>
        <v>34.11</v>
      </c>
      <c r="D1121" s="4">
        <f t="shared" si="5"/>
        <v>-0.01273516643</v>
      </c>
      <c r="E1121" s="2"/>
    </row>
    <row r="1122">
      <c r="A1122" s="1" t="s">
        <v>6</v>
      </c>
      <c r="B1122" s="3">
        <f>IFERROR(__xludf.DUMMYFUNCTION("""COMPUTED_VALUE"""),45741.66666666667)</f>
        <v>45741.66667</v>
      </c>
      <c r="C1122" s="4">
        <f>IFERROR(__xludf.DUMMYFUNCTION("""COMPUTED_VALUE"""),34.29)</f>
        <v>34.29</v>
      </c>
      <c r="D1122" s="4">
        <f t="shared" si="5"/>
        <v>0.005277044855</v>
      </c>
      <c r="E1122" s="2"/>
    </row>
    <row r="1123">
      <c r="A1123" s="1" t="s">
        <v>6</v>
      </c>
      <c r="B1123" s="3">
        <f>IFERROR(__xludf.DUMMYFUNCTION("""COMPUTED_VALUE"""),45742.66666666667)</f>
        <v>45742.66667</v>
      </c>
      <c r="C1123" s="4">
        <f>IFERROR(__xludf.DUMMYFUNCTION("""COMPUTED_VALUE"""),34.42)</f>
        <v>34.42</v>
      </c>
      <c r="D1123" s="4">
        <f t="shared" si="5"/>
        <v>0.003791192768</v>
      </c>
      <c r="E1123" s="2"/>
    </row>
    <row r="1124">
      <c r="A1124" s="1" t="s">
        <v>6</v>
      </c>
      <c r="B1124" s="3">
        <f>IFERROR(__xludf.DUMMYFUNCTION("""COMPUTED_VALUE"""),45743.66666666667)</f>
        <v>45743.66667</v>
      </c>
      <c r="C1124" s="4">
        <f>IFERROR(__xludf.DUMMYFUNCTION("""COMPUTED_VALUE"""),34.41)</f>
        <v>34.41</v>
      </c>
      <c r="D1124" s="4">
        <f t="shared" si="5"/>
        <v>-0.0002905287623</v>
      </c>
      <c r="E1124" s="2"/>
    </row>
    <row r="1125">
      <c r="A1125" s="1" t="s">
        <v>6</v>
      </c>
      <c r="B1125" s="3">
        <f>IFERROR(__xludf.DUMMYFUNCTION("""COMPUTED_VALUE"""),45744.66666666667)</f>
        <v>45744.66667</v>
      </c>
      <c r="C1125" s="4">
        <f>IFERROR(__xludf.DUMMYFUNCTION("""COMPUTED_VALUE"""),33.86)</f>
        <v>33.86</v>
      </c>
      <c r="D1125" s="4">
        <f t="shared" si="5"/>
        <v>-0.01598372566</v>
      </c>
      <c r="E1125" s="2"/>
    </row>
    <row r="1126">
      <c r="A1126" s="1" t="s">
        <v>6</v>
      </c>
      <c r="B1126" s="3">
        <f>IFERROR(__xludf.DUMMYFUNCTION("""COMPUTED_VALUE"""),45747.66666666667)</f>
        <v>45747.66667</v>
      </c>
      <c r="C1126" s="4">
        <f>IFERROR(__xludf.DUMMYFUNCTION("""COMPUTED_VALUE"""),33.79)</f>
        <v>33.79</v>
      </c>
      <c r="D1126" s="4">
        <f t="shared" si="5"/>
        <v>-0.00206733609</v>
      </c>
      <c r="E1126" s="2"/>
    </row>
    <row r="1127">
      <c r="A1127" s="1" t="s">
        <v>6</v>
      </c>
      <c r="B1127" s="3">
        <f>IFERROR(__xludf.DUMMYFUNCTION("""COMPUTED_VALUE"""),45748.66666666667)</f>
        <v>45748.66667</v>
      </c>
      <c r="C1127" s="4">
        <f>IFERROR(__xludf.DUMMYFUNCTION("""COMPUTED_VALUE"""),33.81)</f>
        <v>33.81</v>
      </c>
      <c r="D1127" s="4">
        <f t="shared" si="5"/>
        <v>0.000591891092</v>
      </c>
      <c r="E1127" s="2"/>
    </row>
    <row r="1128">
      <c r="A1128" s="1" t="s">
        <v>6</v>
      </c>
      <c r="B1128" s="3">
        <f>IFERROR(__xludf.DUMMYFUNCTION("""COMPUTED_VALUE"""),45749.66666666667)</f>
        <v>45749.66667</v>
      </c>
      <c r="C1128" s="4">
        <f>IFERROR(__xludf.DUMMYFUNCTION("""COMPUTED_VALUE"""),33.81)</f>
        <v>33.81</v>
      </c>
      <c r="D1128" s="4">
        <f t="shared" si="5"/>
        <v>0</v>
      </c>
      <c r="E1128" s="2"/>
    </row>
    <row r="1129">
      <c r="A1129" s="1" t="s">
        <v>6</v>
      </c>
      <c r="B1129" s="3">
        <f>IFERROR(__xludf.DUMMYFUNCTION("""COMPUTED_VALUE"""),45750.66666666667)</f>
        <v>45750.66667</v>
      </c>
      <c r="C1129" s="4">
        <f>IFERROR(__xludf.DUMMYFUNCTION("""COMPUTED_VALUE"""),31.34)</f>
        <v>31.34</v>
      </c>
      <c r="D1129" s="4">
        <f t="shared" si="5"/>
        <v>-0.07305530908</v>
      </c>
      <c r="E1129" s="2"/>
    </row>
    <row r="1130">
      <c r="A1130" s="1" t="s">
        <v>6</v>
      </c>
      <c r="B1130" s="3">
        <f>IFERROR(__xludf.DUMMYFUNCTION("""COMPUTED_VALUE"""),45751.66666666667)</f>
        <v>45751.66667</v>
      </c>
      <c r="C1130" s="4">
        <f>IFERROR(__xludf.DUMMYFUNCTION("""COMPUTED_VALUE"""),28.38)</f>
        <v>28.38</v>
      </c>
      <c r="D1130" s="4">
        <f t="shared" si="5"/>
        <v>-0.09444798979</v>
      </c>
      <c r="E1130" s="2"/>
    </row>
    <row r="1131">
      <c r="A1131" s="1" t="s">
        <v>6</v>
      </c>
      <c r="B1131" s="3">
        <f>IFERROR(__xludf.DUMMYFUNCTION("""COMPUTED_VALUE"""),45754.66666666667)</f>
        <v>45754.66667</v>
      </c>
      <c r="C1131" s="4">
        <f>IFERROR(__xludf.DUMMYFUNCTION("""COMPUTED_VALUE"""),27.17)</f>
        <v>27.17</v>
      </c>
      <c r="D1131" s="4">
        <f t="shared" si="5"/>
        <v>-0.04263565891</v>
      </c>
      <c r="E1131" s="2"/>
    </row>
    <row r="1132">
      <c r="A1132" s="1" t="s">
        <v>6</v>
      </c>
      <c r="B1132" s="3">
        <f>IFERROR(__xludf.DUMMYFUNCTION("""COMPUTED_VALUE"""),45755.66666666667)</f>
        <v>45755.66667</v>
      </c>
      <c r="C1132" s="4">
        <f>IFERROR(__xludf.DUMMYFUNCTION("""COMPUTED_VALUE"""),26.11)</f>
        <v>26.11</v>
      </c>
      <c r="D1132" s="4">
        <f t="shared" si="5"/>
        <v>-0.03901361796</v>
      </c>
      <c r="E1132" s="2"/>
    </row>
    <row r="1133">
      <c r="A1133" s="1" t="s">
        <v>6</v>
      </c>
      <c r="B1133" s="3">
        <f>IFERROR(__xludf.DUMMYFUNCTION("""COMPUTED_VALUE"""),45756.66666666667)</f>
        <v>45756.66667</v>
      </c>
      <c r="C1133" s="4">
        <f>IFERROR(__xludf.DUMMYFUNCTION("""COMPUTED_VALUE"""),27.9)</f>
        <v>27.9</v>
      </c>
      <c r="D1133" s="4">
        <f t="shared" si="5"/>
        <v>0.06855610877</v>
      </c>
      <c r="E1133" s="2"/>
    </row>
    <row r="1134">
      <c r="A1134" s="1" t="s">
        <v>6</v>
      </c>
      <c r="B1134" s="3">
        <f>IFERROR(__xludf.DUMMYFUNCTION("""COMPUTED_VALUE"""),45757.66666666667)</f>
        <v>45757.66667</v>
      </c>
      <c r="C1134" s="4">
        <f>IFERROR(__xludf.DUMMYFUNCTION("""COMPUTED_VALUE"""),26.23)</f>
        <v>26.23</v>
      </c>
      <c r="D1134" s="4">
        <f t="shared" si="5"/>
        <v>-0.05985663082</v>
      </c>
      <c r="E1134" s="2"/>
    </row>
    <row r="1135">
      <c r="A1135" s="1" t="s">
        <v>6</v>
      </c>
      <c r="B1135" s="3">
        <f>IFERROR(__xludf.DUMMYFUNCTION("""COMPUTED_VALUE"""),45758.66666666667)</f>
        <v>45758.66667</v>
      </c>
      <c r="C1135" s="4">
        <f>IFERROR(__xludf.DUMMYFUNCTION("""COMPUTED_VALUE"""),26.59)</f>
        <v>26.59</v>
      </c>
      <c r="D1135" s="4">
        <f t="shared" si="5"/>
        <v>0.01372474266</v>
      </c>
      <c r="E1135" s="2"/>
    </row>
    <row r="1136">
      <c r="A1136" s="1" t="s">
        <v>6</v>
      </c>
      <c r="B1136" s="3">
        <f>IFERROR(__xludf.DUMMYFUNCTION("""COMPUTED_VALUE"""),45761.66666666667)</f>
        <v>45761.66667</v>
      </c>
      <c r="C1136" s="4">
        <f>IFERROR(__xludf.DUMMYFUNCTION("""COMPUTED_VALUE"""),26.91)</f>
        <v>26.91</v>
      </c>
      <c r="D1136" s="4">
        <f t="shared" si="5"/>
        <v>0.01203459947</v>
      </c>
      <c r="E1136" s="2"/>
    </row>
    <row r="1137">
      <c r="A1137" s="1" t="s">
        <v>6</v>
      </c>
      <c r="B1137" s="3">
        <f>IFERROR(__xludf.DUMMYFUNCTION("""COMPUTED_VALUE"""),45762.66666666667)</f>
        <v>45762.66667</v>
      </c>
      <c r="C1137" s="4">
        <f>IFERROR(__xludf.DUMMYFUNCTION("""COMPUTED_VALUE"""),27.21)</f>
        <v>27.21</v>
      </c>
      <c r="D1137" s="4">
        <f t="shared" si="5"/>
        <v>0.01114827202</v>
      </c>
      <c r="E1137" s="2"/>
    </row>
    <row r="1138">
      <c r="A1138" s="1" t="s">
        <v>6</v>
      </c>
      <c r="B1138" s="3">
        <f>IFERROR(__xludf.DUMMYFUNCTION("""COMPUTED_VALUE"""),45763.66666666667)</f>
        <v>45763.66667</v>
      </c>
      <c r="C1138" s="4">
        <f>IFERROR(__xludf.DUMMYFUNCTION("""COMPUTED_VALUE"""),27.66)</f>
        <v>27.66</v>
      </c>
      <c r="D1138" s="4">
        <f t="shared" si="5"/>
        <v>0.01653803749</v>
      </c>
      <c r="E1138" s="2"/>
    </row>
    <row r="1139">
      <c r="A1139" s="1" t="s">
        <v>6</v>
      </c>
      <c r="B1139" s="3">
        <f>IFERROR(__xludf.DUMMYFUNCTION("""COMPUTED_VALUE"""),45764.66666666667)</f>
        <v>45764.66667</v>
      </c>
      <c r="C1139" s="4">
        <f>IFERROR(__xludf.DUMMYFUNCTION("""COMPUTED_VALUE"""),28.32)</f>
        <v>28.32</v>
      </c>
      <c r="D1139" s="4">
        <f t="shared" si="5"/>
        <v>0.02386117137</v>
      </c>
      <c r="E1139" s="2"/>
    </row>
    <row r="1140">
      <c r="A1140" s="1" t="s">
        <v>6</v>
      </c>
      <c r="B1140" s="3">
        <f>IFERROR(__xludf.DUMMYFUNCTION("""COMPUTED_VALUE"""),45768.66666666667)</f>
        <v>45768.66667</v>
      </c>
      <c r="C1140" s="4">
        <f>IFERROR(__xludf.DUMMYFUNCTION("""COMPUTED_VALUE"""),28.08)</f>
        <v>28.08</v>
      </c>
      <c r="D1140" s="4">
        <f t="shared" si="5"/>
        <v>-0.008474576271</v>
      </c>
      <c r="E1140" s="2"/>
    </row>
    <row r="1141">
      <c r="A1141" s="1" t="s">
        <v>6</v>
      </c>
      <c r="B1141" s="3">
        <f>IFERROR(__xludf.DUMMYFUNCTION("""COMPUTED_VALUE"""),45769.66666666667)</f>
        <v>45769.66667</v>
      </c>
      <c r="C1141" s="4">
        <f>IFERROR(__xludf.DUMMYFUNCTION("""COMPUTED_VALUE"""),28.87)</f>
        <v>28.87</v>
      </c>
      <c r="D1141" s="4">
        <f t="shared" si="5"/>
        <v>0.02813390313</v>
      </c>
      <c r="E1141" s="2"/>
    </row>
    <row r="1142">
      <c r="A1142" s="1" t="s">
        <v>6</v>
      </c>
      <c r="B1142" s="3">
        <f>IFERROR(__xludf.DUMMYFUNCTION("""COMPUTED_VALUE"""),45770.66666666667)</f>
        <v>45770.66667</v>
      </c>
      <c r="C1142" s="4">
        <f>IFERROR(__xludf.DUMMYFUNCTION("""COMPUTED_VALUE"""),28.6)</f>
        <v>28.6</v>
      </c>
      <c r="D1142" s="4">
        <f t="shared" si="5"/>
        <v>-0.009352268791</v>
      </c>
      <c r="E1142" s="2"/>
    </row>
    <row r="1143">
      <c r="A1143" s="1" t="s">
        <v>6</v>
      </c>
      <c r="B1143" s="3">
        <f>IFERROR(__xludf.DUMMYFUNCTION("""COMPUTED_VALUE"""),45771.66666666667)</f>
        <v>45771.66667</v>
      </c>
      <c r="C1143" s="4">
        <f>IFERROR(__xludf.DUMMYFUNCTION("""COMPUTED_VALUE"""),29.0)</f>
        <v>29</v>
      </c>
      <c r="D1143" s="4">
        <f t="shared" si="5"/>
        <v>0.01398601399</v>
      </c>
      <c r="E1143" s="2"/>
    </row>
    <row r="1144">
      <c r="A1144" s="1" t="s">
        <v>6</v>
      </c>
      <c r="B1144" s="3">
        <f>IFERROR(__xludf.DUMMYFUNCTION("""COMPUTED_VALUE"""),45772.66666666667)</f>
        <v>45772.66667</v>
      </c>
      <c r="C1144" s="4">
        <f>IFERROR(__xludf.DUMMYFUNCTION("""COMPUTED_VALUE"""),29.19)</f>
        <v>29.19</v>
      </c>
      <c r="D1144" s="4">
        <f t="shared" si="5"/>
        <v>0.006551724138</v>
      </c>
      <c r="E1144" s="2"/>
    </row>
    <row r="1145">
      <c r="A1145" s="1" t="s">
        <v>6</v>
      </c>
      <c r="B1145" s="3">
        <f>IFERROR(__xludf.DUMMYFUNCTION("""COMPUTED_VALUE"""),45775.66666666667)</f>
        <v>45775.66667</v>
      </c>
      <c r="C1145" s="4">
        <f>IFERROR(__xludf.DUMMYFUNCTION("""COMPUTED_VALUE"""),29.13)</f>
        <v>29.13</v>
      </c>
      <c r="D1145" s="4">
        <f t="shared" si="5"/>
        <v>-0.002055498458</v>
      </c>
      <c r="E1145" s="2"/>
    </row>
    <row r="1146">
      <c r="A1146" s="1" t="s">
        <v>6</v>
      </c>
      <c r="B1146" s="3">
        <f>IFERROR(__xludf.DUMMYFUNCTION("""COMPUTED_VALUE"""),45776.66666666667)</f>
        <v>45776.66667</v>
      </c>
      <c r="C1146" s="4">
        <f>IFERROR(__xludf.DUMMYFUNCTION("""COMPUTED_VALUE"""),28.07)</f>
        <v>28.07</v>
      </c>
      <c r="D1146" s="4">
        <f t="shared" si="5"/>
        <v>-0.03638860281</v>
      </c>
      <c r="E1146" s="2"/>
    </row>
    <row r="1147">
      <c r="A1147" s="1" t="s">
        <v>6</v>
      </c>
      <c r="B1147" s="3">
        <f>IFERROR(__xludf.DUMMYFUNCTION("""COMPUTED_VALUE"""),45777.66666666667)</f>
        <v>45777.66667</v>
      </c>
      <c r="C1147" s="4">
        <f>IFERROR(__xludf.DUMMYFUNCTION("""COMPUTED_VALUE"""),27.46)</f>
        <v>27.46</v>
      </c>
      <c r="D1147" s="4">
        <f t="shared" si="5"/>
        <v>-0.02173138582</v>
      </c>
      <c r="E1147" s="2"/>
    </row>
    <row r="1148">
      <c r="A1148" s="1" t="s">
        <v>6</v>
      </c>
      <c r="B1148" s="3">
        <f>IFERROR(__xludf.DUMMYFUNCTION("""COMPUTED_VALUE"""),45778.66666666667)</f>
        <v>45778.66667</v>
      </c>
      <c r="C1148" s="4">
        <f>IFERROR(__xludf.DUMMYFUNCTION("""COMPUTED_VALUE"""),27.88)</f>
        <v>27.88</v>
      </c>
      <c r="D1148" s="4">
        <f t="shared" si="5"/>
        <v>0.01529497451</v>
      </c>
      <c r="E1148" s="2"/>
    </row>
    <row r="1149">
      <c r="A1149" s="1" t="s">
        <v>6</v>
      </c>
      <c r="B1149" s="3">
        <f>IFERROR(__xludf.DUMMYFUNCTION("""COMPUTED_VALUE"""),45779.66666666667)</f>
        <v>45779.66667</v>
      </c>
      <c r="C1149" s="4">
        <f>IFERROR(__xludf.DUMMYFUNCTION("""COMPUTED_VALUE"""),28.12)</f>
        <v>28.12</v>
      </c>
      <c r="D1149" s="4">
        <f t="shared" si="5"/>
        <v>0.008608321377</v>
      </c>
      <c r="E1149" s="2"/>
    </row>
    <row r="1150">
      <c r="A1150" s="1" t="s">
        <v>6</v>
      </c>
      <c r="B1150" s="3">
        <f>IFERROR(__xludf.DUMMYFUNCTION("""COMPUTED_VALUE"""),45782.66666666667)</f>
        <v>45782.66667</v>
      </c>
      <c r="C1150" s="4">
        <f>IFERROR(__xludf.DUMMYFUNCTION("""COMPUTED_VALUE"""),29.18)</f>
        <v>29.18</v>
      </c>
      <c r="D1150" s="4">
        <f t="shared" si="5"/>
        <v>0.03769559033</v>
      </c>
      <c r="E1150" s="2"/>
    </row>
    <row r="1151">
      <c r="A1151" s="1" t="s">
        <v>6</v>
      </c>
      <c r="B1151" s="3">
        <f>IFERROR(__xludf.DUMMYFUNCTION("""COMPUTED_VALUE"""),45783.66666666667)</f>
        <v>45783.66667</v>
      </c>
      <c r="C1151" s="4">
        <f>IFERROR(__xludf.DUMMYFUNCTION("""COMPUTED_VALUE"""),28.4)</f>
        <v>28.4</v>
      </c>
      <c r="D1151" s="4">
        <f t="shared" si="5"/>
        <v>-0.02673063742</v>
      </c>
      <c r="E1151" s="2"/>
    </row>
    <row r="1152">
      <c r="A1152" s="1" t="s">
        <v>6</v>
      </c>
      <c r="B1152" s="3">
        <f>IFERROR(__xludf.DUMMYFUNCTION("""COMPUTED_VALUE"""),45784.66666666667)</f>
        <v>45784.66667</v>
      </c>
      <c r="C1152" s="4">
        <f>IFERROR(__xludf.DUMMYFUNCTION("""COMPUTED_VALUE"""),28.13)</f>
        <v>28.13</v>
      </c>
      <c r="D1152" s="4">
        <f t="shared" si="5"/>
        <v>-0.009507042254</v>
      </c>
      <c r="E1152" s="2"/>
    </row>
    <row r="1153">
      <c r="A1153" s="1" t="s">
        <v>6</v>
      </c>
      <c r="B1153" s="3">
        <f>IFERROR(__xludf.DUMMYFUNCTION("""COMPUTED_VALUE"""),45785.66666666667)</f>
        <v>45785.66667</v>
      </c>
      <c r="C1153" s="4">
        <f>IFERROR(__xludf.DUMMYFUNCTION("""COMPUTED_VALUE"""),28.59)</f>
        <v>28.59</v>
      </c>
      <c r="D1153" s="4">
        <f t="shared" si="5"/>
        <v>0.01635264842</v>
      </c>
      <c r="E1153" s="2"/>
    </row>
    <row r="1154">
      <c r="A1154" s="1" t="s">
        <v>6</v>
      </c>
      <c r="B1154" s="3">
        <f>IFERROR(__xludf.DUMMYFUNCTION("""COMPUTED_VALUE"""),45786.66666666667)</f>
        <v>45786.66667</v>
      </c>
      <c r="C1154" s="4">
        <f>IFERROR(__xludf.DUMMYFUNCTION("""COMPUTED_VALUE"""),29.77)</f>
        <v>29.77</v>
      </c>
      <c r="D1154" s="4">
        <f t="shared" si="5"/>
        <v>0.04127317244</v>
      </c>
      <c r="E1154" s="2"/>
    </row>
    <row r="1155">
      <c r="A1155" s="1" t="s">
        <v>6</v>
      </c>
      <c r="B1155" s="3">
        <f>IFERROR(__xludf.DUMMYFUNCTION("""COMPUTED_VALUE"""),45789.66666666667)</f>
        <v>45789.66667</v>
      </c>
      <c r="C1155" s="4">
        <f>IFERROR(__xludf.DUMMYFUNCTION("""COMPUTED_VALUE"""),30.19)</f>
        <v>30.19</v>
      </c>
      <c r="D1155" s="4">
        <f t="shared" si="5"/>
        <v>0.01410816258</v>
      </c>
      <c r="E1155" s="2"/>
    </row>
    <row r="1156">
      <c r="A1156" s="1" t="s">
        <v>6</v>
      </c>
      <c r="B1156" s="3">
        <f>IFERROR(__xludf.DUMMYFUNCTION("""COMPUTED_VALUE"""),45790.66666666667)</f>
        <v>45790.66667</v>
      </c>
      <c r="C1156" s="4">
        <f>IFERROR(__xludf.DUMMYFUNCTION("""COMPUTED_VALUE"""),30.56)</f>
        <v>30.56</v>
      </c>
      <c r="D1156" s="4">
        <f t="shared" si="5"/>
        <v>0.01225571381</v>
      </c>
      <c r="E1156" s="2"/>
    </row>
    <row r="1157">
      <c r="A1157" s="1" t="s">
        <v>6</v>
      </c>
      <c r="B1157" s="3">
        <f>IFERROR(__xludf.DUMMYFUNCTION("""COMPUTED_VALUE"""),45791.66666666667)</f>
        <v>45791.66667</v>
      </c>
      <c r="C1157" s="4">
        <f>IFERROR(__xludf.DUMMYFUNCTION("""COMPUTED_VALUE"""),30.36)</f>
        <v>30.36</v>
      </c>
      <c r="D1157" s="4">
        <f t="shared" si="5"/>
        <v>-0.006544502618</v>
      </c>
      <c r="E1157" s="2"/>
    </row>
    <row r="1158">
      <c r="A1158" s="1" t="s">
        <v>6</v>
      </c>
      <c r="B1158" s="3">
        <f>IFERROR(__xludf.DUMMYFUNCTION("""COMPUTED_VALUE"""),45792.66666666667)</f>
        <v>45792.66667</v>
      </c>
      <c r="C1158" s="4">
        <f>IFERROR(__xludf.DUMMYFUNCTION("""COMPUTED_VALUE"""),30.11)</f>
        <v>30.11</v>
      </c>
      <c r="D1158" s="4">
        <f t="shared" si="5"/>
        <v>-0.008234519104</v>
      </c>
      <c r="E1158" s="2"/>
    </row>
    <row r="1159">
      <c r="A1159" s="1" t="s">
        <v>6</v>
      </c>
      <c r="B1159" s="3">
        <f>IFERROR(__xludf.DUMMYFUNCTION("""COMPUTED_VALUE"""),45793.66666666667)</f>
        <v>45793.66667</v>
      </c>
      <c r="C1159" s="4">
        <f>IFERROR(__xludf.DUMMYFUNCTION("""COMPUTED_VALUE"""),29.76)</f>
        <v>29.76</v>
      </c>
      <c r="D1159" s="4">
        <f t="shared" si="5"/>
        <v>-0.01162404517</v>
      </c>
      <c r="E1159" s="2"/>
    </row>
    <row r="1160">
      <c r="A1160" s="1" t="s">
        <v>6</v>
      </c>
      <c r="B1160" s="3">
        <f>IFERROR(__xludf.DUMMYFUNCTION("""COMPUTED_VALUE"""),45796.66666666667)</f>
        <v>45796.66667</v>
      </c>
      <c r="C1160" s="4">
        <f>IFERROR(__xludf.DUMMYFUNCTION("""COMPUTED_VALUE"""),29.4)</f>
        <v>29.4</v>
      </c>
      <c r="D1160" s="4">
        <f t="shared" si="5"/>
        <v>-0.01209677419</v>
      </c>
      <c r="E1160" s="2"/>
    </row>
    <row r="1161">
      <c r="A1161" s="1" t="s">
        <v>6</v>
      </c>
      <c r="B1161" s="3">
        <f>IFERROR(__xludf.DUMMYFUNCTION("""COMPUTED_VALUE"""),45797.66666666667)</f>
        <v>45797.66667</v>
      </c>
      <c r="C1161" s="4">
        <f>IFERROR(__xludf.DUMMYFUNCTION("""COMPUTED_VALUE"""),29.2)</f>
        <v>29.2</v>
      </c>
      <c r="D1161" s="4">
        <f t="shared" si="5"/>
        <v>-0.006802721088</v>
      </c>
      <c r="E1161" s="2"/>
    </row>
    <row r="1162">
      <c r="A1162" s="1" t="s">
        <v>6</v>
      </c>
      <c r="B1162" s="3">
        <f>IFERROR(__xludf.DUMMYFUNCTION("""COMPUTED_VALUE"""),45798.66666666667)</f>
        <v>45798.66667</v>
      </c>
      <c r="C1162" s="4">
        <f>IFERROR(__xludf.DUMMYFUNCTION("""COMPUTED_VALUE"""),28.88)</f>
        <v>28.88</v>
      </c>
      <c r="D1162" s="4">
        <f t="shared" si="5"/>
        <v>-0.01095890411</v>
      </c>
      <c r="E1162" s="2"/>
    </row>
    <row r="1163">
      <c r="A1163" s="1" t="s">
        <v>6</v>
      </c>
      <c r="B1163" s="3">
        <f>IFERROR(__xludf.DUMMYFUNCTION("""COMPUTED_VALUE"""),45799.66666666667)</f>
        <v>45799.66667</v>
      </c>
      <c r="C1163" s="4">
        <f>IFERROR(__xludf.DUMMYFUNCTION("""COMPUTED_VALUE"""),28.94)</f>
        <v>28.94</v>
      </c>
      <c r="D1163" s="4">
        <f t="shared" si="5"/>
        <v>0.002077562327</v>
      </c>
      <c r="E1163" s="2"/>
    </row>
    <row r="1164">
      <c r="A1164" s="1" t="s">
        <v>6</v>
      </c>
      <c r="B1164" s="3">
        <f>IFERROR(__xludf.DUMMYFUNCTION("""COMPUTED_VALUE"""),45800.66666666667)</f>
        <v>45800.66667</v>
      </c>
      <c r="C1164" s="4">
        <f>IFERROR(__xludf.DUMMYFUNCTION("""COMPUTED_VALUE"""),29.09)</f>
        <v>29.09</v>
      </c>
      <c r="D1164" s="4">
        <f t="shared" si="5"/>
        <v>0.005183137526</v>
      </c>
      <c r="E1164" s="2"/>
    </row>
    <row r="1165">
      <c r="A1165" s="1" t="s">
        <v>6</v>
      </c>
      <c r="B1165" s="3">
        <f>IFERROR(__xludf.DUMMYFUNCTION("""COMPUTED_VALUE"""),45804.66666666667)</f>
        <v>45804.66667</v>
      </c>
      <c r="C1165" s="4">
        <f>IFERROR(__xludf.DUMMYFUNCTION("""COMPUTED_VALUE"""),29.15)</f>
        <v>29.15</v>
      </c>
      <c r="D1165" s="4">
        <f t="shared" si="5"/>
        <v>0.002062564455</v>
      </c>
      <c r="E1165" s="2"/>
    </row>
    <row r="1166">
      <c r="A1166" s="1" t="s">
        <v>6</v>
      </c>
      <c r="B1166" s="3">
        <f>IFERROR(__xludf.DUMMYFUNCTION("""COMPUTED_VALUE"""),45805.66666666667)</f>
        <v>45805.66667</v>
      </c>
      <c r="C1166" s="4">
        <f>IFERROR(__xludf.DUMMYFUNCTION("""COMPUTED_VALUE"""),28.94)</f>
        <v>28.94</v>
      </c>
      <c r="D1166" s="4">
        <f t="shared" si="5"/>
        <v>-0.007204116638</v>
      </c>
      <c r="E1166" s="2"/>
    </row>
    <row r="1167">
      <c r="A1167" s="1" t="s">
        <v>6</v>
      </c>
      <c r="B1167" s="3">
        <f>IFERROR(__xludf.DUMMYFUNCTION("""COMPUTED_VALUE"""),45806.66666666667)</f>
        <v>45806.66667</v>
      </c>
      <c r="C1167" s="4">
        <f>IFERROR(__xludf.DUMMYFUNCTION("""COMPUTED_VALUE"""),29.17)</f>
        <v>29.17</v>
      </c>
      <c r="D1167" s="4">
        <f t="shared" si="5"/>
        <v>0.00794747754</v>
      </c>
      <c r="E1167" s="2"/>
    </row>
    <row r="1168">
      <c r="A1168" s="1" t="s">
        <v>6</v>
      </c>
      <c r="B1168" s="3">
        <f>IFERROR(__xludf.DUMMYFUNCTION("""COMPUTED_VALUE"""),45807.66666666667)</f>
        <v>45807.66667</v>
      </c>
      <c r="C1168" s="4">
        <f>IFERROR(__xludf.DUMMYFUNCTION("""COMPUTED_VALUE"""),29.1)</f>
        <v>29.1</v>
      </c>
      <c r="D1168" s="4">
        <f t="shared" si="5"/>
        <v>-0.002399725746</v>
      </c>
      <c r="E1168" s="2"/>
    </row>
    <row r="1169">
      <c r="A1169" s="1" t="s">
        <v>6</v>
      </c>
      <c r="B1169" s="3">
        <f>IFERROR(__xludf.DUMMYFUNCTION("""COMPUTED_VALUE"""),45810.66666666667)</f>
        <v>45810.66667</v>
      </c>
      <c r="C1169" s="4">
        <f>IFERROR(__xludf.DUMMYFUNCTION("""COMPUTED_VALUE"""),29.58)</f>
        <v>29.58</v>
      </c>
      <c r="D1169" s="4">
        <f t="shared" si="5"/>
        <v>0.01649484536</v>
      </c>
      <c r="E1169" s="2"/>
    </row>
    <row r="1170">
      <c r="A1170" s="1" t="s">
        <v>6</v>
      </c>
      <c r="B1170" s="3">
        <f>IFERROR(__xludf.DUMMYFUNCTION("""COMPUTED_VALUE"""),45811.66666666667)</f>
        <v>45811.66667</v>
      </c>
      <c r="C1170" s="4">
        <f>IFERROR(__xludf.DUMMYFUNCTION("""COMPUTED_VALUE"""),29.56)</f>
        <v>29.56</v>
      </c>
      <c r="D1170" s="4">
        <f t="shared" si="5"/>
        <v>-0.000676132522</v>
      </c>
      <c r="E1170" s="2"/>
    </row>
    <row r="1171">
      <c r="A1171" s="1" t="s">
        <v>6</v>
      </c>
      <c r="B1171" s="3">
        <f>IFERROR(__xludf.DUMMYFUNCTION("""COMPUTED_VALUE"""),45812.66666666667)</f>
        <v>45812.66667</v>
      </c>
      <c r="C1171" s="4">
        <f>IFERROR(__xludf.DUMMYFUNCTION("""COMPUTED_VALUE"""),28.92)</f>
        <v>28.92</v>
      </c>
      <c r="D1171" s="4">
        <f t="shared" si="5"/>
        <v>-0.02165087957</v>
      </c>
      <c r="E1171" s="2"/>
    </row>
    <row r="1172">
      <c r="A1172" s="1" t="s">
        <v>6</v>
      </c>
      <c r="B1172" s="3">
        <f>IFERROR(__xludf.DUMMYFUNCTION("""COMPUTED_VALUE"""),45813.66666666667)</f>
        <v>45813.66667</v>
      </c>
      <c r="C1172" s="4">
        <f>IFERROR(__xludf.DUMMYFUNCTION("""COMPUTED_VALUE"""),29.05)</f>
        <v>29.05</v>
      </c>
      <c r="D1172" s="4">
        <f t="shared" si="5"/>
        <v>0.004495159059</v>
      </c>
      <c r="E1172" s="2"/>
    </row>
    <row r="1173">
      <c r="A1173" s="1" t="s">
        <v>6</v>
      </c>
      <c r="B1173" s="3">
        <f>IFERROR(__xludf.DUMMYFUNCTION("""COMPUTED_VALUE"""),45814.66666666667)</f>
        <v>45814.66667</v>
      </c>
      <c r="C1173" s="4">
        <f>IFERROR(__xludf.DUMMYFUNCTION("""COMPUTED_VALUE"""),29.29)</f>
        <v>29.29</v>
      </c>
      <c r="D1173" s="4">
        <f t="shared" si="5"/>
        <v>0.0082616179</v>
      </c>
      <c r="E1173" s="2"/>
    </row>
    <row r="1174">
      <c r="A1174" s="1" t="s">
        <v>6</v>
      </c>
      <c r="B1174" s="3">
        <f>IFERROR(__xludf.DUMMYFUNCTION("""COMPUTED_VALUE"""),45817.66666666667)</f>
        <v>45817.66667</v>
      </c>
      <c r="C1174" s="4">
        <f>IFERROR(__xludf.DUMMYFUNCTION("""COMPUTED_VALUE"""),29.46)</f>
        <v>29.46</v>
      </c>
      <c r="D1174" s="4">
        <f t="shared" si="5"/>
        <v>0.005804028679</v>
      </c>
      <c r="E1174" s="2"/>
    </row>
    <row r="1175">
      <c r="A1175" s="1" t="s">
        <v>6</v>
      </c>
      <c r="B1175" s="3">
        <f>IFERROR(__xludf.DUMMYFUNCTION("""COMPUTED_VALUE"""),45818.66666666667)</f>
        <v>45818.66667</v>
      </c>
      <c r="C1175" s="4">
        <f>IFERROR(__xludf.DUMMYFUNCTION("""COMPUTED_VALUE"""),30.23)</f>
        <v>30.23</v>
      </c>
      <c r="D1175" s="4">
        <f t="shared" si="5"/>
        <v>0.0261371351</v>
      </c>
      <c r="E1175" s="2"/>
    </row>
    <row r="1176">
      <c r="A1176" s="1" t="s">
        <v>6</v>
      </c>
      <c r="B1176" s="3">
        <f>IFERROR(__xludf.DUMMYFUNCTION("""COMPUTED_VALUE"""),45819.66666666667)</f>
        <v>45819.66667</v>
      </c>
      <c r="C1176" s="4">
        <f>IFERROR(__xludf.DUMMYFUNCTION("""COMPUTED_VALUE"""),30.81)</f>
        <v>30.81</v>
      </c>
      <c r="D1176" s="4">
        <f t="shared" si="5"/>
        <v>0.01918623884</v>
      </c>
      <c r="E1176" s="2"/>
    </row>
    <row r="1177">
      <c r="A1177" s="1" t="s">
        <v>6</v>
      </c>
      <c r="B1177" s="3">
        <f>IFERROR(__xludf.DUMMYFUNCTION("""COMPUTED_VALUE"""),45820.66666666667)</f>
        <v>45820.66667</v>
      </c>
      <c r="C1177" s="4">
        <f>IFERROR(__xludf.DUMMYFUNCTION("""COMPUTED_VALUE"""),30.92)</f>
        <v>30.92</v>
      </c>
      <c r="D1177" s="4">
        <f t="shared" si="5"/>
        <v>0.003570269393</v>
      </c>
      <c r="E1177" s="2"/>
    </row>
    <row r="1178">
      <c r="A1178" s="1" t="s">
        <v>6</v>
      </c>
      <c r="B1178" s="3">
        <f>IFERROR(__xludf.DUMMYFUNCTION("""COMPUTED_VALUE"""),45821.66666666667)</f>
        <v>45821.66667</v>
      </c>
      <c r="C1178" s="4">
        <f>IFERROR(__xludf.DUMMYFUNCTION("""COMPUTED_VALUE"""),31.72)</f>
        <v>31.72</v>
      </c>
      <c r="D1178" s="4">
        <f t="shared" si="5"/>
        <v>0.02587322122</v>
      </c>
      <c r="E1178" s="2"/>
    </row>
    <row r="1179">
      <c r="A1179" s="1" t="s">
        <v>6</v>
      </c>
      <c r="B1179" s="3">
        <f>IFERROR(__xludf.DUMMYFUNCTION("""COMPUTED_VALUE"""),45824.66666666667)</f>
        <v>45824.66667</v>
      </c>
      <c r="C1179" s="4">
        <f>IFERROR(__xludf.DUMMYFUNCTION("""COMPUTED_VALUE"""),31.16)</f>
        <v>31.16</v>
      </c>
      <c r="D1179" s="4">
        <f t="shared" si="5"/>
        <v>-0.01765447667</v>
      </c>
      <c r="E1179" s="2"/>
    </row>
    <row r="1180">
      <c r="A1180" s="1" t="s">
        <v>6</v>
      </c>
      <c r="B1180" s="3">
        <f>IFERROR(__xludf.DUMMYFUNCTION("""COMPUTED_VALUE"""),45825.66666666667)</f>
        <v>45825.66667</v>
      </c>
      <c r="C1180" s="4">
        <f>IFERROR(__xludf.DUMMYFUNCTION("""COMPUTED_VALUE"""),31.58)</f>
        <v>31.58</v>
      </c>
      <c r="D1180" s="4">
        <f t="shared" si="5"/>
        <v>0.013478819</v>
      </c>
      <c r="E1180" s="2"/>
    </row>
    <row r="1181">
      <c r="A1181" s="1" t="s">
        <v>6</v>
      </c>
      <c r="B1181" s="3">
        <f>IFERROR(__xludf.DUMMYFUNCTION("""COMPUTED_VALUE"""),45826.66666666667)</f>
        <v>45826.66667</v>
      </c>
      <c r="C1181" s="4">
        <f>IFERROR(__xludf.DUMMYFUNCTION("""COMPUTED_VALUE"""),31.14)</f>
        <v>31.14</v>
      </c>
      <c r="D1181" s="4">
        <f t="shared" si="5"/>
        <v>-0.0139328689</v>
      </c>
      <c r="E1181" s="2"/>
    </row>
    <row r="1182">
      <c r="A1182" s="1" t="s">
        <v>6</v>
      </c>
      <c r="B1182" s="3">
        <f>IFERROR(__xludf.DUMMYFUNCTION("""COMPUTED_VALUE"""),45828.66666666667)</f>
        <v>45828.66667</v>
      </c>
      <c r="C1182" s="4">
        <f>IFERROR(__xludf.DUMMYFUNCTION("""COMPUTED_VALUE"""),31.25)</f>
        <v>31.25</v>
      </c>
      <c r="D1182" s="4">
        <f t="shared" si="5"/>
        <v>0.003532434168</v>
      </c>
      <c r="E1182" s="2"/>
    </row>
    <row r="1183">
      <c r="A1183" s="1" t="s">
        <v>6</v>
      </c>
      <c r="B1183" s="3">
        <f>IFERROR(__xludf.DUMMYFUNCTION("""COMPUTED_VALUE"""),45831.66666666667)</f>
        <v>45831.66667</v>
      </c>
      <c r="C1183" s="4">
        <f>IFERROR(__xludf.DUMMYFUNCTION("""COMPUTED_VALUE"""),30.32)</f>
        <v>30.32</v>
      </c>
      <c r="D1183" s="4">
        <f t="shared" si="5"/>
        <v>-0.02976</v>
      </c>
      <c r="E1183" s="2"/>
    </row>
    <row r="1184">
      <c r="A1184" s="1" t="s">
        <v>6</v>
      </c>
      <c r="B1184" s="3">
        <f>IFERROR(__xludf.DUMMYFUNCTION("""COMPUTED_VALUE"""),45832.66666666667)</f>
        <v>45832.66667</v>
      </c>
      <c r="C1184" s="4">
        <f>IFERROR(__xludf.DUMMYFUNCTION("""COMPUTED_VALUE"""),29.83)</f>
        <v>29.83</v>
      </c>
      <c r="D1184" s="4">
        <f t="shared" si="5"/>
        <v>-0.01616094987</v>
      </c>
      <c r="E1184" s="2"/>
    </row>
    <row r="1185">
      <c r="A1185" s="1" t="s">
        <v>6</v>
      </c>
      <c r="B1185" s="3">
        <f>IFERROR(__xludf.DUMMYFUNCTION("""COMPUTED_VALUE"""),45833.66666666667)</f>
        <v>45833.66667</v>
      </c>
      <c r="C1185" s="4">
        <f>IFERROR(__xludf.DUMMYFUNCTION("""COMPUTED_VALUE"""),30.32)</f>
        <v>30.32</v>
      </c>
      <c r="D1185" s="4">
        <f t="shared" si="5"/>
        <v>0.01642641636</v>
      </c>
      <c r="E1185" s="2"/>
    </row>
    <row r="1186">
      <c r="A1186" s="1" t="s">
        <v>6</v>
      </c>
      <c r="B1186" s="3">
        <f>IFERROR(__xludf.DUMMYFUNCTION("""COMPUTED_VALUE"""),45834.66666666667)</f>
        <v>45834.66667</v>
      </c>
      <c r="C1186" s="4">
        <f>IFERROR(__xludf.DUMMYFUNCTION("""COMPUTED_VALUE"""),30.29)</f>
        <v>30.29</v>
      </c>
      <c r="D1186" s="4">
        <f t="shared" si="5"/>
        <v>-0.0009894459103</v>
      </c>
      <c r="E1186" s="2"/>
    </row>
    <row r="1187">
      <c r="A1187" s="1" t="s">
        <v>6</v>
      </c>
      <c r="B1187" s="3">
        <f>IFERROR(__xludf.DUMMYFUNCTION("""COMPUTED_VALUE"""),45835.66666666667)</f>
        <v>45835.66667</v>
      </c>
      <c r="C1187" s="4">
        <f>IFERROR(__xludf.DUMMYFUNCTION("""COMPUTED_VALUE"""),30.34)</f>
        <v>30.34</v>
      </c>
      <c r="D1187" s="4">
        <f t="shared" si="5"/>
        <v>0.001650709805</v>
      </c>
      <c r="E1187" s="2"/>
    </row>
    <row r="1188">
      <c r="A1188" s="1" t="s">
        <v>6</v>
      </c>
      <c r="B1188" s="3">
        <f>IFERROR(__xludf.DUMMYFUNCTION("""COMPUTED_VALUE"""),45838.66666666667)</f>
        <v>45838.66667</v>
      </c>
      <c r="C1188" s="4">
        <f>IFERROR(__xludf.DUMMYFUNCTION("""COMPUTED_VALUE"""),29.93)</f>
        <v>29.93</v>
      </c>
      <c r="D1188" s="4">
        <f t="shared" si="5"/>
        <v>-0.01351351351</v>
      </c>
      <c r="E1188" s="2"/>
    </row>
    <row r="1189">
      <c r="A1189" s="1" t="s">
        <v>6</v>
      </c>
      <c r="B1189" s="3">
        <f>IFERROR(__xludf.DUMMYFUNCTION("""COMPUTED_VALUE"""),45839.66666666667)</f>
        <v>45839.66667</v>
      </c>
      <c r="C1189" s="4">
        <f>IFERROR(__xludf.DUMMYFUNCTION("""COMPUTED_VALUE"""),30.5)</f>
        <v>30.5</v>
      </c>
      <c r="D1189" s="4">
        <f t="shared" si="5"/>
        <v>0.01904443702</v>
      </c>
      <c r="E1189" s="2"/>
    </row>
    <row r="1190">
      <c r="A1190" s="1" t="s">
        <v>6</v>
      </c>
      <c r="B1190" s="3">
        <f>IFERROR(__xludf.DUMMYFUNCTION("""COMPUTED_VALUE"""),45840.66666666667)</f>
        <v>45840.66667</v>
      </c>
      <c r="C1190" s="4">
        <f>IFERROR(__xludf.DUMMYFUNCTION("""COMPUTED_VALUE"""),31.3)</f>
        <v>31.3</v>
      </c>
      <c r="D1190" s="4">
        <f t="shared" si="5"/>
        <v>0.0262295082</v>
      </c>
      <c r="E1190" s="2"/>
    </row>
    <row r="1191">
      <c r="A1191" s="1" t="s">
        <v>6</v>
      </c>
      <c r="B1191" s="3">
        <f>IFERROR(__xludf.DUMMYFUNCTION("""COMPUTED_VALUE"""),45841.54166666667)</f>
        <v>45841.54167</v>
      </c>
      <c r="C1191" s="4">
        <f>IFERROR(__xludf.DUMMYFUNCTION("""COMPUTED_VALUE"""),30.93)</f>
        <v>30.93</v>
      </c>
      <c r="D1191" s="4">
        <f t="shared" si="5"/>
        <v>-0.01182108626</v>
      </c>
      <c r="E1191" s="2"/>
    </row>
    <row r="1192">
      <c r="A1192" s="1" t="s">
        <v>6</v>
      </c>
      <c r="B1192" s="3">
        <f>IFERROR(__xludf.DUMMYFUNCTION("""COMPUTED_VALUE"""),45845.66666666667)</f>
        <v>45845.66667</v>
      </c>
      <c r="C1192" s="4">
        <f>IFERROR(__xludf.DUMMYFUNCTION("""COMPUTED_VALUE"""),30.25)</f>
        <v>30.25</v>
      </c>
      <c r="D1192" s="4">
        <f t="shared" si="5"/>
        <v>-0.02198512771</v>
      </c>
      <c r="E1192" s="2"/>
    </row>
    <row r="1193">
      <c r="A1193" s="1" t="s">
        <v>6</v>
      </c>
      <c r="B1193" s="3">
        <f>IFERROR(__xludf.DUMMYFUNCTION("""COMPUTED_VALUE"""),45846.66666666667)</f>
        <v>45846.66667</v>
      </c>
      <c r="C1193" s="4">
        <f>IFERROR(__xludf.DUMMYFUNCTION("""COMPUTED_VALUE"""),31.27)</f>
        <v>31.27</v>
      </c>
      <c r="D1193" s="4">
        <f t="shared" si="5"/>
        <v>0.03371900826</v>
      </c>
      <c r="E1193" s="2"/>
    </row>
    <row r="1194">
      <c r="A1194" s="1" t="s">
        <v>6</v>
      </c>
      <c r="B1194" s="3">
        <f>IFERROR(__xludf.DUMMYFUNCTION("""COMPUTED_VALUE"""),45847.66666666667)</f>
        <v>45847.66667</v>
      </c>
      <c r="C1194" s="4">
        <f>IFERROR(__xludf.DUMMYFUNCTION("""COMPUTED_VALUE"""),31.27)</f>
        <v>31.27</v>
      </c>
      <c r="D1194" s="4">
        <f t="shared" si="5"/>
        <v>0</v>
      </c>
      <c r="E1194" s="2"/>
    </row>
    <row r="1195">
      <c r="A1195" s="1" t="s">
        <v>6</v>
      </c>
      <c r="B1195" s="3">
        <f>IFERROR(__xludf.DUMMYFUNCTION("""COMPUTED_VALUE"""),45848.66666666667)</f>
        <v>45848.66667</v>
      </c>
      <c r="C1195" s="4">
        <f>IFERROR(__xludf.DUMMYFUNCTION("""COMPUTED_VALUE"""),31.52)</f>
        <v>31.52</v>
      </c>
      <c r="D1195" s="4">
        <f t="shared" si="5"/>
        <v>0.007994883275</v>
      </c>
      <c r="E1195" s="2"/>
    </row>
    <row r="1196">
      <c r="A1196" s="1" t="s">
        <v>6</v>
      </c>
      <c r="B1196" s="3">
        <f>IFERROR(__xludf.DUMMYFUNCTION("""COMPUTED_VALUE"""),45849.66666666667)</f>
        <v>45849.66667</v>
      </c>
      <c r="C1196" s="4">
        <f>IFERROR(__xludf.DUMMYFUNCTION("""COMPUTED_VALUE"""),32.64)</f>
        <v>32.64</v>
      </c>
      <c r="D1196" s="4">
        <f t="shared" si="5"/>
        <v>0.03553299492</v>
      </c>
      <c r="E1196" s="2"/>
    </row>
    <row r="1197">
      <c r="A1197" s="1" t="s">
        <v>6</v>
      </c>
      <c r="B1197" s="3">
        <f>IFERROR(__xludf.DUMMYFUNCTION("""COMPUTED_VALUE"""),45852.66666666667)</f>
        <v>45852.66667</v>
      </c>
      <c r="C1197" s="4">
        <f>IFERROR(__xludf.DUMMYFUNCTION("""COMPUTED_VALUE"""),32.1)</f>
        <v>32.1</v>
      </c>
      <c r="D1197" s="4">
        <f t="shared" si="5"/>
        <v>-0.01654411765</v>
      </c>
      <c r="E1197" s="2"/>
    </row>
    <row r="1198">
      <c r="A1198" s="1" t="s">
        <v>6</v>
      </c>
      <c r="B1198" s="3">
        <f>IFERROR(__xludf.DUMMYFUNCTION("""COMPUTED_VALUE"""),45853.66666666667)</f>
        <v>45853.66667</v>
      </c>
      <c r="C1198" s="4">
        <f>IFERROR(__xludf.DUMMYFUNCTION("""COMPUTED_VALUE"""),31.86)</f>
        <v>31.86</v>
      </c>
      <c r="D1198" s="4">
        <f t="shared" si="5"/>
        <v>-0.007476635514</v>
      </c>
      <c r="E1198" s="2"/>
    </row>
    <row r="1199">
      <c r="A1199" s="1" t="s">
        <v>6</v>
      </c>
      <c r="B1199" s="3">
        <f>IFERROR(__xludf.DUMMYFUNCTION("""COMPUTED_VALUE"""),45854.66666666667)</f>
        <v>45854.66667</v>
      </c>
      <c r="C1199" s="4">
        <f>IFERROR(__xludf.DUMMYFUNCTION("""COMPUTED_VALUE"""),31.92)</f>
        <v>31.92</v>
      </c>
      <c r="D1199" s="4">
        <f t="shared" si="5"/>
        <v>0.001883239171</v>
      </c>
      <c r="E1199" s="2"/>
    </row>
    <row r="1200">
      <c r="A1200" s="1" t="s">
        <v>6</v>
      </c>
      <c r="B1200" s="3">
        <f>IFERROR(__xludf.DUMMYFUNCTION("""COMPUTED_VALUE"""),45855.66666666667)</f>
        <v>45855.66667</v>
      </c>
      <c r="C1200" s="4">
        <f>IFERROR(__xludf.DUMMYFUNCTION("""COMPUTED_VALUE"""),32.09)</f>
        <v>32.09</v>
      </c>
      <c r="D1200" s="4">
        <f t="shared" si="5"/>
        <v>0.005325814536</v>
      </c>
      <c r="E1200" s="2"/>
    </row>
    <row r="1201">
      <c r="A1201" s="1" t="s">
        <v>6</v>
      </c>
      <c r="B1201" s="3">
        <f>IFERROR(__xludf.DUMMYFUNCTION("""COMPUTED_VALUE"""),45856.66666666667)</f>
        <v>45856.66667</v>
      </c>
      <c r="C1201" s="4">
        <f>IFERROR(__xludf.DUMMYFUNCTION("""COMPUTED_VALUE"""),31.99)</f>
        <v>31.99</v>
      </c>
      <c r="D1201" s="4">
        <f t="shared" si="5"/>
        <v>-0.003116235587</v>
      </c>
      <c r="E1201" s="2"/>
    </row>
    <row r="1202">
      <c r="A1202" s="1" t="s">
        <v>6</v>
      </c>
      <c r="B1202" s="3">
        <f>IFERROR(__xludf.DUMMYFUNCTION("""COMPUTED_VALUE"""),45859.66666666667)</f>
        <v>45859.66667</v>
      </c>
      <c r="C1202" s="4">
        <f>IFERROR(__xludf.DUMMYFUNCTION("""COMPUTED_VALUE"""),32.23)</f>
        <v>32.23</v>
      </c>
      <c r="D1202" s="4">
        <f t="shared" si="5"/>
        <v>0.007502344483</v>
      </c>
      <c r="E1202" s="2"/>
    </row>
    <row r="1203">
      <c r="A1203" s="1" t="s">
        <v>6</v>
      </c>
      <c r="B1203" s="3">
        <f>IFERROR(__xludf.DUMMYFUNCTION("""COMPUTED_VALUE"""),45860.66666666667)</f>
        <v>45860.66667</v>
      </c>
      <c r="C1203" s="4">
        <f>IFERROR(__xludf.DUMMYFUNCTION("""COMPUTED_VALUE"""),32.52)</f>
        <v>32.52</v>
      </c>
      <c r="D1203" s="4">
        <f t="shared" si="5"/>
        <v>0.00899782811</v>
      </c>
      <c r="E1203" s="2"/>
    </row>
    <row r="1204">
      <c r="A1204" s="1" t="s">
        <v>6</v>
      </c>
      <c r="B1204" s="3">
        <f>IFERROR(__xludf.DUMMYFUNCTION("""COMPUTED_VALUE"""),45861.66666666667)</f>
        <v>45861.66667</v>
      </c>
      <c r="C1204" s="4">
        <f>IFERROR(__xludf.DUMMYFUNCTION("""COMPUTED_VALUE"""),32.71)</f>
        <v>32.71</v>
      </c>
      <c r="D1204" s="4">
        <f t="shared" si="5"/>
        <v>0.005842558426</v>
      </c>
      <c r="E1204" s="2"/>
    </row>
    <row r="1205">
      <c r="A1205" s="1" t="s">
        <v>6</v>
      </c>
      <c r="B1205" s="3">
        <f>IFERROR(__xludf.DUMMYFUNCTION("""COMPUTED_VALUE"""),45862.66666666667)</f>
        <v>45862.66667</v>
      </c>
      <c r="C1205" s="4">
        <f>IFERROR(__xludf.DUMMYFUNCTION("""COMPUTED_VALUE"""),32.13)</f>
        <v>32.13</v>
      </c>
      <c r="D1205" s="4">
        <f t="shared" si="5"/>
        <v>-0.01773158056</v>
      </c>
      <c r="E1205" s="2"/>
    </row>
    <row r="1206">
      <c r="A1206" s="1" t="s">
        <v>6</v>
      </c>
      <c r="B1206" s="3">
        <f>IFERROR(__xludf.DUMMYFUNCTION("""COMPUTED_VALUE"""),45863.66666666667)</f>
        <v>45863.66667</v>
      </c>
      <c r="C1206" s="4">
        <f>IFERROR(__xludf.DUMMYFUNCTION("""COMPUTED_VALUE"""),32.2)</f>
        <v>32.2</v>
      </c>
      <c r="D1206" s="4">
        <f t="shared" si="5"/>
        <v>0.002178649237</v>
      </c>
      <c r="E1206" s="2"/>
    </row>
    <row r="1207">
      <c r="A1207" s="1" t="s">
        <v>6</v>
      </c>
      <c r="B1207" s="3">
        <f>IFERROR(__xludf.DUMMYFUNCTION("""COMPUTED_VALUE"""),45866.66666666667)</f>
        <v>45866.66667</v>
      </c>
      <c r="C1207" s="4">
        <f>IFERROR(__xludf.DUMMYFUNCTION("""COMPUTED_VALUE"""),32.67)</f>
        <v>32.67</v>
      </c>
      <c r="D1207" s="4">
        <f t="shared" si="5"/>
        <v>0.01459627329</v>
      </c>
      <c r="E1207" s="2"/>
    </row>
    <row r="1208">
      <c r="A1208" s="1" t="s">
        <v>6</v>
      </c>
      <c r="B1208" s="3">
        <f>IFERROR(__xludf.DUMMYFUNCTION("""COMPUTED_VALUE"""),45867.66666666667)</f>
        <v>45867.66667</v>
      </c>
      <c r="C1208" s="4">
        <f>IFERROR(__xludf.DUMMYFUNCTION("""COMPUTED_VALUE"""),32.96)</f>
        <v>32.96</v>
      </c>
      <c r="D1208" s="4">
        <f t="shared" si="5"/>
        <v>0.00887664524</v>
      </c>
      <c r="E1208" s="2"/>
    </row>
    <row r="1209">
      <c r="A1209" s="1" t="s">
        <v>6</v>
      </c>
      <c r="B1209" s="3">
        <f>IFERROR(__xludf.DUMMYFUNCTION("""COMPUTED_VALUE"""),45868.66666666667)</f>
        <v>45868.66667</v>
      </c>
      <c r="C1209" s="4">
        <f>IFERROR(__xludf.DUMMYFUNCTION("""COMPUTED_VALUE"""),32.25)</f>
        <v>32.25</v>
      </c>
      <c r="D1209" s="4">
        <f t="shared" si="5"/>
        <v>-0.02154126214</v>
      </c>
      <c r="E1209" s="2"/>
    </row>
    <row r="1210">
      <c r="A1210" s="1" t="s">
        <v>6</v>
      </c>
      <c r="B1210" s="3">
        <f>IFERROR(__xludf.DUMMYFUNCTION("""COMPUTED_VALUE"""),45869.66666666667)</f>
        <v>45869.66667</v>
      </c>
      <c r="C1210" s="4">
        <f>IFERROR(__xludf.DUMMYFUNCTION("""COMPUTED_VALUE"""),32.15)</f>
        <v>32.15</v>
      </c>
      <c r="D1210" s="4">
        <f t="shared" si="5"/>
        <v>-0.003100775194</v>
      </c>
      <c r="E1210" s="2"/>
    </row>
    <row r="1211">
      <c r="A1211" s="1" t="s">
        <v>6</v>
      </c>
      <c r="B1211" s="3">
        <f>IFERROR(__xludf.DUMMYFUNCTION("""COMPUTED_VALUE"""),45870.66666666667)</f>
        <v>45870.66667</v>
      </c>
      <c r="C1211" s="4">
        <f>IFERROR(__xludf.DUMMYFUNCTION("""COMPUTED_VALUE"""),31.75)</f>
        <v>31.75</v>
      </c>
      <c r="D1211" s="4">
        <f t="shared" si="5"/>
        <v>-0.01244167963</v>
      </c>
      <c r="E1211" s="2"/>
    </row>
    <row r="1212">
      <c r="A1212" s="1" t="s">
        <v>6</v>
      </c>
      <c r="B1212" s="3">
        <f>IFERROR(__xludf.DUMMYFUNCTION("""COMPUTED_VALUE"""),45873.66666666667)</f>
        <v>45873.66667</v>
      </c>
      <c r="C1212" s="4">
        <f>IFERROR(__xludf.DUMMYFUNCTION("""COMPUTED_VALUE"""),32.49)</f>
        <v>32.49</v>
      </c>
      <c r="D1212" s="4">
        <f t="shared" si="5"/>
        <v>0.02330708661</v>
      </c>
      <c r="E1212" s="2"/>
    </row>
    <row r="1213">
      <c r="A1213" s="1" t="s">
        <v>6</v>
      </c>
      <c r="B1213" s="3">
        <f>IFERROR(__xludf.DUMMYFUNCTION("""COMPUTED_VALUE"""),45874.66666666667)</f>
        <v>45874.66667</v>
      </c>
      <c r="C1213" s="4">
        <f>IFERROR(__xludf.DUMMYFUNCTION("""COMPUTED_VALUE"""),33.6)</f>
        <v>33.6</v>
      </c>
      <c r="D1213" s="4">
        <f t="shared" si="5"/>
        <v>0.03416435826</v>
      </c>
      <c r="E1213" s="2"/>
    </row>
    <row r="1214">
      <c r="A1214" s="1" t="s">
        <v>6</v>
      </c>
      <c r="B1214" s="3">
        <f>IFERROR(__xludf.DUMMYFUNCTION("""COMPUTED_VALUE"""),45875.66666666667)</f>
        <v>45875.66667</v>
      </c>
      <c r="C1214" s="4">
        <f>IFERROR(__xludf.DUMMYFUNCTION("""COMPUTED_VALUE"""),33.88)</f>
        <v>33.88</v>
      </c>
      <c r="D1214" s="4">
        <f t="shared" si="5"/>
        <v>0.008333333333</v>
      </c>
      <c r="E1214" s="2"/>
    </row>
    <row r="1215">
      <c r="A1215" s="1" t="s">
        <v>6</v>
      </c>
      <c r="B1215" s="3">
        <f>IFERROR(__xludf.DUMMYFUNCTION("""COMPUTED_VALUE"""),45876.66666666667)</f>
        <v>45876.66667</v>
      </c>
      <c r="C1215" s="4">
        <f>IFERROR(__xludf.DUMMYFUNCTION("""COMPUTED_VALUE"""),34.19)</f>
        <v>34.19</v>
      </c>
      <c r="D1215" s="4">
        <f t="shared" si="5"/>
        <v>0.009149940968</v>
      </c>
      <c r="E1215" s="2"/>
    </row>
    <row r="1216">
      <c r="A1216" s="1" t="s">
        <v>6</v>
      </c>
      <c r="B1216" s="3">
        <f>IFERROR(__xludf.DUMMYFUNCTION("""COMPUTED_VALUE"""),45877.66666666667)</f>
        <v>45877.66667</v>
      </c>
      <c r="C1216" s="4">
        <f>IFERROR(__xludf.DUMMYFUNCTION("""COMPUTED_VALUE"""),34.14)</f>
        <v>34.14</v>
      </c>
      <c r="D1216" s="4">
        <f t="shared" si="5"/>
        <v>-0.001462415911</v>
      </c>
      <c r="E1216" s="2"/>
    </row>
    <row r="1217">
      <c r="A1217" s="1" t="s">
        <v>6</v>
      </c>
      <c r="B1217" s="3">
        <f>IFERROR(__xludf.DUMMYFUNCTION("""COMPUTED_VALUE"""),45880.66666666667)</f>
        <v>45880.66667</v>
      </c>
      <c r="C1217" s="4">
        <f>IFERROR(__xludf.DUMMYFUNCTION("""COMPUTED_VALUE"""),33.95)</f>
        <v>33.95</v>
      </c>
      <c r="D1217" s="4">
        <f t="shared" si="5"/>
        <v>-0.005565319274</v>
      </c>
      <c r="E1217" s="2"/>
    </row>
    <row r="1218">
      <c r="A1218" s="1" t="s">
        <v>6</v>
      </c>
      <c r="B1218" s="3">
        <f>IFERROR(__xludf.DUMMYFUNCTION("""COMPUTED_VALUE"""),45881.66666666667)</f>
        <v>45881.66667</v>
      </c>
      <c r="C1218" s="4">
        <f>IFERROR(__xludf.DUMMYFUNCTION("""COMPUTED_VALUE"""),34.07)</f>
        <v>34.07</v>
      </c>
      <c r="D1218" s="4">
        <f t="shared" si="5"/>
        <v>0.00353460972</v>
      </c>
      <c r="E1218" s="2"/>
    </row>
    <row r="1219">
      <c r="A1219" s="1" t="s">
        <v>6</v>
      </c>
      <c r="B1219" s="3">
        <f>IFERROR(__xludf.DUMMYFUNCTION("""COMPUTED_VALUE"""),45882.66666666667)</f>
        <v>45882.66667</v>
      </c>
      <c r="C1219" s="4">
        <f>IFERROR(__xludf.DUMMYFUNCTION("""COMPUTED_VALUE"""),34.31)</f>
        <v>34.31</v>
      </c>
      <c r="D1219" s="4">
        <f t="shared" si="5"/>
        <v>0.007044320517</v>
      </c>
      <c r="E1219" s="2"/>
    </row>
    <row r="1220">
      <c r="A1220" s="1" t="s">
        <v>6</v>
      </c>
      <c r="B1220" s="3">
        <f>IFERROR(__xludf.DUMMYFUNCTION("""COMPUTED_VALUE"""),45883.66666666667)</f>
        <v>45883.66667</v>
      </c>
      <c r="C1220" s="4">
        <f>IFERROR(__xludf.DUMMYFUNCTION("""COMPUTED_VALUE"""),34.64)</f>
        <v>34.64</v>
      </c>
      <c r="D1220" s="4">
        <f t="shared" si="5"/>
        <v>0.009618187117</v>
      </c>
      <c r="E1220" s="2"/>
    </row>
    <row r="1221">
      <c r="A1221" s="1" t="s">
        <v>6</v>
      </c>
      <c r="B1221" s="3">
        <f>IFERROR(__xludf.DUMMYFUNCTION("""COMPUTED_VALUE"""),45884.66666666667)</f>
        <v>45884.66667</v>
      </c>
      <c r="C1221" s="4">
        <f>IFERROR(__xludf.DUMMYFUNCTION("""COMPUTED_VALUE"""),34.33)</f>
        <v>34.33</v>
      </c>
      <c r="D1221" s="4">
        <f t="shared" si="5"/>
        <v>-0.008949191686</v>
      </c>
      <c r="E1221" s="2"/>
    </row>
    <row r="1222">
      <c r="A1222" s="1" t="s">
        <v>6</v>
      </c>
      <c r="B1222" s="3">
        <f>IFERROR(__xludf.DUMMYFUNCTION("""COMPUTED_VALUE"""),45887.66666666667)</f>
        <v>45887.66667</v>
      </c>
      <c r="C1222" s="4">
        <f>IFERROR(__xludf.DUMMYFUNCTION("""COMPUTED_VALUE"""),34.05)</f>
        <v>34.05</v>
      </c>
      <c r="D1222" s="4">
        <f t="shared" si="5"/>
        <v>-0.008156131663</v>
      </c>
      <c r="E1222" s="2"/>
    </row>
    <row r="1223">
      <c r="A1223" s="1" t="s">
        <v>6</v>
      </c>
      <c r="B1223" s="3">
        <f>IFERROR(__xludf.DUMMYFUNCTION("""COMPUTED_VALUE"""),45888.66666666667)</f>
        <v>45888.66667</v>
      </c>
      <c r="C1223" s="4">
        <f>IFERROR(__xludf.DUMMYFUNCTION("""COMPUTED_VALUE"""),33.82)</f>
        <v>33.82</v>
      </c>
      <c r="D1223" s="4">
        <f t="shared" si="5"/>
        <v>-0.006754772394</v>
      </c>
      <c r="E1223" s="2"/>
    </row>
    <row r="1224">
      <c r="A1224" s="1" t="s">
        <v>6</v>
      </c>
      <c r="B1224" s="3">
        <f>IFERROR(__xludf.DUMMYFUNCTION("""COMPUTED_VALUE"""),45889.66666666667)</f>
        <v>45889.66667</v>
      </c>
      <c r="C1224" s="4">
        <f>IFERROR(__xludf.DUMMYFUNCTION("""COMPUTED_VALUE"""),33.88)</f>
        <v>33.88</v>
      </c>
      <c r="D1224" s="4">
        <f t="shared" si="5"/>
        <v>0.001774098167</v>
      </c>
      <c r="E1224" s="2"/>
    </row>
    <row r="1225">
      <c r="A1225" s="1" t="s">
        <v>6</v>
      </c>
      <c r="B1225" s="3">
        <f>IFERROR(__xludf.DUMMYFUNCTION("""COMPUTED_VALUE"""),45890.66666666667)</f>
        <v>45890.66667</v>
      </c>
      <c r="C1225" s="4">
        <f>IFERROR(__xludf.DUMMYFUNCTION("""COMPUTED_VALUE"""),34.05)</f>
        <v>34.05</v>
      </c>
      <c r="D1225" s="4">
        <f t="shared" si="5"/>
        <v>0.005017709563</v>
      </c>
      <c r="E1225" s="2"/>
    </row>
    <row r="1226">
      <c r="A1226" s="1" t="s">
        <v>6</v>
      </c>
      <c r="B1226" s="3">
        <f>IFERROR(__xludf.DUMMYFUNCTION("""COMPUTED_VALUE"""),45891.66666666667)</f>
        <v>45891.66667</v>
      </c>
      <c r="C1226" s="4">
        <f>IFERROR(__xludf.DUMMYFUNCTION("""COMPUTED_VALUE"""),34.74)</f>
        <v>34.74</v>
      </c>
      <c r="D1226" s="4">
        <f t="shared" si="5"/>
        <v>0.02026431718</v>
      </c>
      <c r="E1226" s="2"/>
    </row>
    <row r="1227">
      <c r="A1227" s="1" t="s">
        <v>6</v>
      </c>
      <c r="B1227" s="3">
        <f>IFERROR(__xludf.DUMMYFUNCTION("""COMPUTED_VALUE"""),45894.66666666667)</f>
        <v>45894.66667</v>
      </c>
      <c r="C1227" s="4">
        <f>IFERROR(__xludf.DUMMYFUNCTION("""COMPUTED_VALUE"""),34.97)</f>
        <v>34.97</v>
      </c>
      <c r="D1227" s="4">
        <f t="shared" si="5"/>
        <v>0.006620610248</v>
      </c>
      <c r="E1227" s="2"/>
    </row>
    <row r="1228">
      <c r="A1228" s="1" t="s">
        <v>6</v>
      </c>
      <c r="B1228" s="3">
        <f>IFERROR(__xludf.DUMMYFUNCTION("""COMPUTED_VALUE"""),45895.66666666667)</f>
        <v>45895.66667</v>
      </c>
      <c r="C1228" s="4">
        <f>IFERROR(__xludf.DUMMYFUNCTION("""COMPUTED_VALUE"""),34.67)</f>
        <v>34.67</v>
      </c>
      <c r="D1228" s="4">
        <f t="shared" si="5"/>
        <v>-0.008578781813</v>
      </c>
      <c r="E1228" s="2"/>
    </row>
    <row r="1229">
      <c r="A1229" s="1" t="s">
        <v>6</v>
      </c>
      <c r="B1229" s="3">
        <f>IFERROR(__xludf.DUMMYFUNCTION("""COMPUTED_VALUE"""),45896.66666666667)</f>
        <v>45896.66667</v>
      </c>
      <c r="C1229" s="4">
        <f>IFERROR(__xludf.DUMMYFUNCTION("""COMPUTED_VALUE"""),34.89)</f>
        <v>34.89</v>
      </c>
      <c r="D1229" s="4">
        <f t="shared" si="5"/>
        <v>0.006345543698</v>
      </c>
      <c r="E1229" s="2"/>
    </row>
    <row r="1230">
      <c r="A1230" s="1" t="s">
        <v>6</v>
      </c>
      <c r="B1230" s="3">
        <f>IFERROR(__xludf.DUMMYFUNCTION("""COMPUTED_VALUE"""),45897.66666666667)</f>
        <v>45897.66667</v>
      </c>
      <c r="C1230" s="4">
        <f>IFERROR(__xludf.DUMMYFUNCTION("""COMPUTED_VALUE"""),35.35)</f>
        <v>35.35</v>
      </c>
      <c r="D1230" s="4">
        <f t="shared" si="5"/>
        <v>0.01318429349</v>
      </c>
      <c r="E1230" s="2"/>
    </row>
    <row r="1231">
      <c r="A1231" s="1" t="s">
        <v>6</v>
      </c>
      <c r="B1231" s="3">
        <f>IFERROR(__xludf.DUMMYFUNCTION("""COMPUTED_VALUE"""),45898.66666666667)</f>
        <v>45898.66667</v>
      </c>
      <c r="C1231" s="4">
        <f>IFERROR(__xludf.DUMMYFUNCTION("""COMPUTED_VALUE"""),35.23)</f>
        <v>35.23</v>
      </c>
      <c r="D1231" s="4">
        <f t="shared" si="5"/>
        <v>-0.003394625177</v>
      </c>
      <c r="E1231" s="2"/>
    </row>
    <row r="1232">
      <c r="A1232" s="1" t="s">
        <v>6</v>
      </c>
      <c r="B1232" s="3">
        <f>IFERROR(__xludf.DUMMYFUNCTION("""COMPUTED_VALUE"""),45902.66666666667)</f>
        <v>45902.66667</v>
      </c>
      <c r="C1232" s="4">
        <f>IFERROR(__xludf.DUMMYFUNCTION("""COMPUTED_VALUE"""),35.23)</f>
        <v>35.23</v>
      </c>
      <c r="D1232" s="4">
        <f t="shared" si="5"/>
        <v>0</v>
      </c>
      <c r="E1232" s="2"/>
    </row>
    <row r="1233">
      <c r="A1233" s="1" t="s">
        <v>6</v>
      </c>
      <c r="B1233" s="3">
        <f>IFERROR(__xludf.DUMMYFUNCTION("""COMPUTED_VALUE"""),45903.66666666667)</f>
        <v>45903.66667</v>
      </c>
      <c r="C1233" s="4">
        <f>IFERROR(__xludf.DUMMYFUNCTION("""COMPUTED_VALUE"""),34.46)</f>
        <v>34.46</v>
      </c>
      <c r="D1233" s="4">
        <f t="shared" si="5"/>
        <v>-0.02185637241</v>
      </c>
      <c r="E1233" s="2"/>
    </row>
    <row r="1234">
      <c r="A1234" s="1" t="s">
        <v>6</v>
      </c>
      <c r="B1234" s="3">
        <f>IFERROR(__xludf.DUMMYFUNCTION("""COMPUTED_VALUE"""),45904.66666666667)</f>
        <v>45904.66667</v>
      </c>
      <c r="C1234" s="4">
        <f>IFERROR(__xludf.DUMMYFUNCTION("""COMPUTED_VALUE"""),34.3)</f>
        <v>34.3</v>
      </c>
      <c r="D1234" s="4">
        <f t="shared" si="5"/>
        <v>-0.004643064423</v>
      </c>
      <c r="E1234" s="2"/>
    </row>
    <row r="1235">
      <c r="A1235" s="1" t="s">
        <v>6</v>
      </c>
      <c r="B1235" s="3">
        <f>IFERROR(__xludf.DUMMYFUNCTION("""COMPUTED_VALUE"""),45905.66666666667)</f>
        <v>45905.66667</v>
      </c>
      <c r="C1235" s="4">
        <f>IFERROR(__xludf.DUMMYFUNCTION("""COMPUTED_VALUE"""),33.93)</f>
        <v>33.93</v>
      </c>
      <c r="D1235" s="4">
        <f t="shared" si="5"/>
        <v>-0.01078717201</v>
      </c>
      <c r="E1235" s="2"/>
    </row>
    <row r="1236">
      <c r="A1236" s="1" t="s">
        <v>6</v>
      </c>
      <c r="B1236" s="3">
        <f>IFERROR(__xludf.DUMMYFUNCTION("""COMPUTED_VALUE"""),45908.66666666667)</f>
        <v>45908.66667</v>
      </c>
      <c r="C1236" s="4">
        <f>IFERROR(__xludf.DUMMYFUNCTION("""COMPUTED_VALUE"""),33.91)</f>
        <v>33.91</v>
      </c>
      <c r="D1236" s="4">
        <f t="shared" si="5"/>
        <v>-0.0005894488653</v>
      </c>
      <c r="E1236" s="2"/>
    </row>
    <row r="1237">
      <c r="A1237" s="1" t="s">
        <v>6</v>
      </c>
      <c r="B1237" s="3">
        <f>IFERROR(__xludf.DUMMYFUNCTION("""COMPUTED_VALUE"""),45909.66666666667)</f>
        <v>45909.66667</v>
      </c>
      <c r="C1237" s="4">
        <f>IFERROR(__xludf.DUMMYFUNCTION("""COMPUTED_VALUE"""),34.09)</f>
        <v>34.09</v>
      </c>
      <c r="D1237" s="4">
        <f t="shared" si="5"/>
        <v>0.005308168682</v>
      </c>
      <c r="E1237" s="2"/>
    </row>
    <row r="1238">
      <c r="A1238" s="1" t="s">
        <v>6</v>
      </c>
      <c r="B1238" s="3">
        <f>IFERROR(__xludf.DUMMYFUNCTION("""COMPUTED_VALUE"""),45910.66666666667)</f>
        <v>45910.66667</v>
      </c>
      <c r="C1238" s="4">
        <f>IFERROR(__xludf.DUMMYFUNCTION("""COMPUTED_VALUE"""),34.76)</f>
        <v>34.76</v>
      </c>
      <c r="D1238" s="4">
        <f t="shared" si="5"/>
        <v>0.01965385744</v>
      </c>
      <c r="E1238" s="2"/>
    </row>
    <row r="1239">
      <c r="A1239" s="1" t="s">
        <v>6</v>
      </c>
      <c r="B1239" s="3">
        <f>IFERROR(__xludf.DUMMYFUNCTION("""COMPUTED_VALUE"""),45911.66666666667)</f>
        <v>45911.66667</v>
      </c>
      <c r="C1239" s="4">
        <f>IFERROR(__xludf.DUMMYFUNCTION("""COMPUTED_VALUE"""),34.47)</f>
        <v>34.47</v>
      </c>
      <c r="D1239" s="4">
        <f t="shared" si="5"/>
        <v>-0.0083429229</v>
      </c>
      <c r="E1239" s="2"/>
    </row>
    <row r="1240">
      <c r="A1240" s="1" t="s">
        <v>6</v>
      </c>
      <c r="B1240" s="3">
        <f>IFERROR(__xludf.DUMMYFUNCTION("""COMPUTED_VALUE"""),45912.66666666667)</f>
        <v>45912.66667</v>
      </c>
      <c r="C1240" s="4">
        <f>IFERROR(__xludf.DUMMYFUNCTION("""COMPUTED_VALUE"""),33.89)</f>
        <v>33.89</v>
      </c>
      <c r="D1240" s="4">
        <f t="shared" si="5"/>
        <v>-0.0168262257</v>
      </c>
      <c r="E1240" s="2"/>
    </row>
    <row r="1241">
      <c r="A1241" s="1" t="s">
        <v>6</v>
      </c>
      <c r="B1241" s="3">
        <f>IFERROR(__xludf.DUMMYFUNCTION("""COMPUTED_VALUE"""),45915.66666666667)</f>
        <v>45915.66667</v>
      </c>
      <c r="C1241" s="4">
        <f>IFERROR(__xludf.DUMMYFUNCTION("""COMPUTED_VALUE"""),34.21)</f>
        <v>34.21</v>
      </c>
      <c r="D1241" s="4">
        <f t="shared" si="5"/>
        <v>0.009442313367</v>
      </c>
      <c r="E1241" s="2"/>
    </row>
    <row r="1242">
      <c r="A1242" s="1" t="s">
        <v>6</v>
      </c>
      <c r="B1242" s="3">
        <f>IFERROR(__xludf.DUMMYFUNCTION("""COMPUTED_VALUE"""),45916.66666666667)</f>
        <v>45916.66667</v>
      </c>
      <c r="C1242" s="4">
        <f>IFERROR(__xludf.DUMMYFUNCTION("""COMPUTED_VALUE"""),34.43)</f>
        <v>34.43</v>
      </c>
      <c r="D1242" s="4">
        <f t="shared" si="5"/>
        <v>0.006430868167</v>
      </c>
      <c r="E1242" s="2"/>
    </row>
    <row r="1243">
      <c r="A1243" s="1" t="s">
        <v>6</v>
      </c>
      <c r="B1243" s="3">
        <f>IFERROR(__xludf.DUMMYFUNCTION("""COMPUTED_VALUE"""),45917.66666666667)</f>
        <v>45917.66667</v>
      </c>
      <c r="C1243" s="4">
        <f>IFERROR(__xludf.DUMMYFUNCTION("""COMPUTED_VALUE"""),34.3)</f>
        <v>34.3</v>
      </c>
      <c r="D1243" s="4">
        <f t="shared" si="5"/>
        <v>-0.003775776939</v>
      </c>
      <c r="E1243" s="2"/>
    </row>
    <row r="1244">
      <c r="A1244" s="1" t="s">
        <v>6</v>
      </c>
      <c r="B1244" s="3">
        <f>IFERROR(__xludf.DUMMYFUNCTION("""COMPUTED_VALUE"""),45918.66666666667)</f>
        <v>45918.66667</v>
      </c>
      <c r="C1244" s="4">
        <f>IFERROR(__xludf.DUMMYFUNCTION("""COMPUTED_VALUE"""),34.56)</f>
        <v>34.56</v>
      </c>
      <c r="D1244" s="4">
        <f t="shared" si="5"/>
        <v>0.007580174927</v>
      </c>
      <c r="E1244" s="2"/>
    </row>
    <row r="1245">
      <c r="A1245" s="1" t="s">
        <v>6</v>
      </c>
      <c r="B1245" s="3">
        <f>IFERROR(__xludf.DUMMYFUNCTION("""COMPUTED_VALUE"""),45919.66666666667)</f>
        <v>45919.66667</v>
      </c>
      <c r="C1245" s="4">
        <f>IFERROR(__xludf.DUMMYFUNCTION("""COMPUTED_VALUE"""),34.12)</f>
        <v>34.12</v>
      </c>
      <c r="D1245" s="4">
        <f t="shared" si="5"/>
        <v>-0.01273148148</v>
      </c>
      <c r="E1245" s="2"/>
    </row>
    <row r="1246">
      <c r="A1246" s="1" t="s">
        <v>6</v>
      </c>
      <c r="B1246" s="3">
        <f>IFERROR(__xludf.DUMMYFUNCTION("""COMPUTED_VALUE"""),45922.66666666667)</f>
        <v>45922.66667</v>
      </c>
      <c r="C1246" s="4">
        <f>IFERROR(__xludf.DUMMYFUNCTION("""COMPUTED_VALUE"""),34.37)</f>
        <v>34.37</v>
      </c>
      <c r="D1246" s="4">
        <f t="shared" si="5"/>
        <v>0.007327080891</v>
      </c>
      <c r="E1246" s="2"/>
    </row>
    <row r="1247">
      <c r="A1247" s="1" t="s">
        <v>6</v>
      </c>
      <c r="B1247" s="3">
        <f>IFERROR(__xludf.DUMMYFUNCTION("""COMPUTED_VALUE"""),45923.66666666667)</f>
        <v>45923.66667</v>
      </c>
      <c r="C1247" s="4">
        <f>IFERROR(__xludf.DUMMYFUNCTION("""COMPUTED_VALUE"""),34.74)</f>
        <v>34.74</v>
      </c>
      <c r="D1247" s="4">
        <f t="shared" si="5"/>
        <v>0.01076520221</v>
      </c>
      <c r="E1247" s="2"/>
    </row>
    <row r="1248">
      <c r="A1248" s="1" t="s">
        <v>6</v>
      </c>
      <c r="B1248" s="3">
        <f>IFERROR(__xludf.DUMMYFUNCTION("""COMPUTED_VALUE"""),45924.66666666667)</f>
        <v>45924.66667</v>
      </c>
      <c r="C1248" s="4">
        <f>IFERROR(__xludf.DUMMYFUNCTION("""COMPUTED_VALUE"""),35.21)</f>
        <v>35.21</v>
      </c>
      <c r="D1248" s="4">
        <f t="shared" si="5"/>
        <v>0.01352907311</v>
      </c>
      <c r="E1248" s="2"/>
    </row>
    <row r="1249">
      <c r="A1249" s="1" t="s">
        <v>6</v>
      </c>
      <c r="B1249" s="3">
        <f>IFERROR(__xludf.DUMMYFUNCTION("""COMPUTED_VALUE"""),45925.66666666667)</f>
        <v>45925.66667</v>
      </c>
      <c r="C1249" s="4">
        <f>IFERROR(__xludf.DUMMYFUNCTION("""COMPUTED_VALUE"""),35.26)</f>
        <v>35.26</v>
      </c>
      <c r="D1249" s="4">
        <f t="shared" si="5"/>
        <v>0.001420051122</v>
      </c>
      <c r="E1249" s="2"/>
    </row>
    <row r="1250">
      <c r="A1250" s="1" t="s">
        <v>6</v>
      </c>
      <c r="B1250" s="3">
        <f>IFERROR(__xludf.DUMMYFUNCTION("""COMPUTED_VALUE"""),45926.66666666667)</f>
        <v>45926.66667</v>
      </c>
      <c r="C1250" s="4">
        <f>IFERROR(__xludf.DUMMYFUNCTION("""COMPUTED_VALUE"""),35.69)</f>
        <v>35.69</v>
      </c>
      <c r="D1250" s="4">
        <f t="shared" si="5"/>
        <v>0.01219512195</v>
      </c>
      <c r="E1250" s="2"/>
    </row>
    <row r="1251">
      <c r="A1251" s="1" t="s">
        <v>6</v>
      </c>
      <c r="B1251" s="3">
        <f>IFERROR(__xludf.DUMMYFUNCTION("""COMPUTED_VALUE"""),45929.66666666667)</f>
        <v>45929.66667</v>
      </c>
      <c r="C1251" s="4">
        <f>IFERROR(__xludf.DUMMYFUNCTION("""COMPUTED_VALUE"""),34.75)</f>
        <v>34.75</v>
      </c>
      <c r="D1251" s="4">
        <f t="shared" si="5"/>
        <v>-0.02633790978</v>
      </c>
      <c r="E1251" s="2"/>
    </row>
    <row r="1252">
      <c r="A1252" s="1" t="s">
        <v>6</v>
      </c>
      <c r="B1252" s="3">
        <f>IFERROR(__xludf.DUMMYFUNCTION("""COMPUTED_VALUE"""),45930.66666666667)</f>
        <v>45930.66667</v>
      </c>
      <c r="C1252" s="4">
        <f>IFERROR(__xludf.DUMMYFUNCTION("""COMPUTED_VALUE"""),34.46)</f>
        <v>34.46</v>
      </c>
      <c r="D1252" s="4">
        <f t="shared" si="5"/>
        <v>-0.008345323741</v>
      </c>
      <c r="E1252" s="2"/>
    </row>
    <row r="1253">
      <c r="A1253" s="1" t="s">
        <v>6</v>
      </c>
      <c r="B1253" s="3">
        <f>IFERROR(__xludf.DUMMYFUNCTION("""COMPUTED_VALUE"""),45931.66666666667)</f>
        <v>45931.66667</v>
      </c>
      <c r="C1253" s="4">
        <f>IFERROR(__xludf.DUMMYFUNCTION("""COMPUTED_VALUE"""),34.46)</f>
        <v>34.46</v>
      </c>
      <c r="D1253" s="4">
        <f t="shared" si="5"/>
        <v>0</v>
      </c>
      <c r="E1253" s="2"/>
    </row>
    <row r="1254">
      <c r="A1254" s="1" t="s">
        <v>6</v>
      </c>
      <c r="B1254" s="3">
        <f>IFERROR(__xludf.DUMMYFUNCTION("""COMPUTED_VALUE"""),45932.66666666667)</f>
        <v>45932.66667</v>
      </c>
      <c r="C1254" s="4">
        <f>IFERROR(__xludf.DUMMYFUNCTION("""COMPUTED_VALUE"""),33.86)</f>
        <v>33.86</v>
      </c>
      <c r="D1254" s="4">
        <f t="shared" si="5"/>
        <v>-0.01741149158</v>
      </c>
      <c r="E1254" s="2"/>
    </row>
    <row r="1255">
      <c r="A1255" s="1" t="s">
        <v>6</v>
      </c>
      <c r="B1255" s="3">
        <f>IFERROR(__xludf.DUMMYFUNCTION("""COMPUTED_VALUE"""),45933.66666666667)</f>
        <v>45933.66667</v>
      </c>
      <c r="C1255" s="4">
        <f>IFERROR(__xludf.DUMMYFUNCTION("""COMPUTED_VALUE"""),34.16)</f>
        <v>34.16</v>
      </c>
      <c r="D1255" s="4">
        <f t="shared" si="5"/>
        <v>0.008860011813</v>
      </c>
      <c r="E1255" s="2"/>
    </row>
    <row r="1256">
      <c r="A1256" s="1" t="s">
        <v>6</v>
      </c>
      <c r="B1256" s="3">
        <f>IFERROR(__xludf.DUMMYFUNCTION("""COMPUTED_VALUE"""),45936.66666666667)</f>
        <v>45936.66667</v>
      </c>
      <c r="C1256" s="4">
        <f>IFERROR(__xludf.DUMMYFUNCTION("""COMPUTED_VALUE"""),34.83)</f>
        <v>34.83</v>
      </c>
      <c r="D1256" s="4">
        <f t="shared" si="5"/>
        <v>0.01961358314</v>
      </c>
      <c r="E1256" s="2"/>
    </row>
    <row r="1257">
      <c r="A1257" s="1" t="s">
        <v>6</v>
      </c>
      <c r="B1257" s="3">
        <f>IFERROR(__xludf.DUMMYFUNCTION("""COMPUTED_VALUE"""),45937.66666666667)</f>
        <v>45937.66667</v>
      </c>
      <c r="C1257" s="4">
        <f>IFERROR(__xludf.DUMMYFUNCTION("""COMPUTED_VALUE"""),34.97)</f>
        <v>34.97</v>
      </c>
      <c r="D1257" s="4">
        <f t="shared" si="5"/>
        <v>0.004019523399</v>
      </c>
      <c r="E1257" s="2"/>
    </row>
    <row r="1258">
      <c r="A1258" s="1" t="s">
        <v>6</v>
      </c>
      <c r="B1258" s="3">
        <f>IFERROR(__xludf.DUMMYFUNCTION("""COMPUTED_VALUE"""),45938.66666666667)</f>
        <v>45938.66667</v>
      </c>
      <c r="C1258" s="4">
        <f>IFERROR(__xludf.DUMMYFUNCTION("""COMPUTED_VALUE"""),34.52)</f>
        <v>34.52</v>
      </c>
      <c r="D1258" s="4">
        <f t="shared" si="5"/>
        <v>-0.01286817272</v>
      </c>
      <c r="E1258" s="2"/>
    </row>
    <row r="1259">
      <c r="A1259" s="1" t="s">
        <v>6</v>
      </c>
      <c r="B1259" s="3">
        <f>IFERROR(__xludf.DUMMYFUNCTION("""COMPUTED_VALUE"""),45939.66666666667)</f>
        <v>45939.66667</v>
      </c>
      <c r="C1259" s="4">
        <f>IFERROR(__xludf.DUMMYFUNCTION("""COMPUTED_VALUE"""),34.29)</f>
        <v>34.29</v>
      </c>
      <c r="D1259" s="4">
        <f t="shared" si="5"/>
        <v>-0.006662804171</v>
      </c>
      <c r="E1259" s="2"/>
    </row>
    <row r="1260">
      <c r="A1260" s="1" t="s">
        <v>6</v>
      </c>
      <c r="B1260" s="3">
        <f>IFERROR(__xludf.DUMMYFUNCTION("""COMPUTED_VALUE"""),45940.66666666667)</f>
        <v>45940.66667</v>
      </c>
      <c r="C1260" s="4">
        <f>IFERROR(__xludf.DUMMYFUNCTION("""COMPUTED_VALUE"""),33.49)</f>
        <v>33.49</v>
      </c>
      <c r="D1260" s="4">
        <f t="shared" si="5"/>
        <v>-0.02333041703</v>
      </c>
      <c r="E1260" s="2"/>
    </row>
    <row r="1261">
      <c r="A1261" s="1" t="s">
        <v>6</v>
      </c>
      <c r="B1261" s="3">
        <f>IFERROR(__xludf.DUMMYFUNCTION("""COMPUTED_VALUE"""),45943.66666666667)</f>
        <v>45943.66667</v>
      </c>
      <c r="C1261" s="4">
        <f>IFERROR(__xludf.DUMMYFUNCTION("""COMPUTED_VALUE"""),33.7)</f>
        <v>33.7</v>
      </c>
      <c r="D1261" s="4">
        <f t="shared" si="5"/>
        <v>0.006270528516</v>
      </c>
      <c r="E1261" s="2"/>
    </row>
    <row r="1262">
      <c r="A1262" s="1" t="s">
        <v>6</v>
      </c>
      <c r="B1262" s="3">
        <f>IFERROR(__xludf.DUMMYFUNCTION("""COMPUTED_VALUE"""),45944.66666666667)</f>
        <v>45944.66667</v>
      </c>
      <c r="C1262" s="4">
        <f>IFERROR(__xludf.DUMMYFUNCTION("""COMPUTED_VALUE"""),33.11)</f>
        <v>33.11</v>
      </c>
      <c r="D1262" s="4">
        <f t="shared" si="5"/>
        <v>-0.0175074184</v>
      </c>
      <c r="E1262" s="2"/>
    </row>
    <row r="1263">
      <c r="A1263" s="1" t="s">
        <v>6</v>
      </c>
      <c r="B1263" s="3">
        <f>IFERROR(__xludf.DUMMYFUNCTION("""COMPUTED_VALUE"""),45945.66666666667)</f>
        <v>45945.66667</v>
      </c>
      <c r="C1263" s="4">
        <f>IFERROR(__xludf.DUMMYFUNCTION("""COMPUTED_VALUE"""),33.34)</f>
        <v>33.34</v>
      </c>
      <c r="D1263" s="4">
        <f t="shared" si="5"/>
        <v>0.00694654183</v>
      </c>
      <c r="E1263" s="2"/>
    </row>
    <row r="1264">
      <c r="A1264" s="1" t="s">
        <v>6</v>
      </c>
      <c r="B1264" s="3">
        <f>IFERROR(__xludf.DUMMYFUNCTION("""COMPUTED_VALUE"""),45946.66666666667)</f>
        <v>45946.66667</v>
      </c>
      <c r="C1264" s="4">
        <f>IFERROR(__xludf.DUMMYFUNCTION("""COMPUTED_VALUE"""),32.78)</f>
        <v>32.78</v>
      </c>
      <c r="D1264" s="4">
        <f t="shared" si="5"/>
        <v>-0.01679664067</v>
      </c>
      <c r="E1264" s="2"/>
    </row>
    <row r="1265">
      <c r="A1265" s="1" t="s">
        <v>6</v>
      </c>
      <c r="B1265" s="3">
        <f>IFERROR(__xludf.DUMMYFUNCTION("""COMPUTED_VALUE"""),45947.66666666667)</f>
        <v>45947.66667</v>
      </c>
      <c r="C1265" s="4">
        <f>IFERROR(__xludf.DUMMYFUNCTION("""COMPUTED_VALUE"""),33.13)</f>
        <v>33.13</v>
      </c>
      <c r="D1265" s="4">
        <f t="shared" si="5"/>
        <v>0.01067724222</v>
      </c>
      <c r="E1265" s="2"/>
    </row>
    <row r="1266">
      <c r="A1266" s="1" t="s">
        <v>6</v>
      </c>
      <c r="B1266" s="3">
        <f>IFERROR(__xludf.DUMMYFUNCTION("""COMPUTED_VALUE"""),45950.66666666667)</f>
        <v>45950.66667</v>
      </c>
      <c r="C1266" s="4">
        <f>IFERROR(__xludf.DUMMYFUNCTION("""COMPUTED_VALUE"""),33.22)</f>
        <v>33.22</v>
      </c>
      <c r="D1266" s="4">
        <f t="shared" si="5"/>
        <v>0.002716571084</v>
      </c>
      <c r="E1266" s="2"/>
    </row>
    <row r="1267">
      <c r="A1267" s="1" t="s">
        <v>6</v>
      </c>
      <c r="B1267" s="3">
        <f>IFERROR(__xludf.DUMMYFUNCTION("""COMPUTED_VALUE"""),45951.66666666667)</f>
        <v>45951.66667</v>
      </c>
      <c r="C1267" s="4">
        <f>IFERROR(__xludf.DUMMYFUNCTION("""COMPUTED_VALUE"""),33.16)</f>
        <v>33.16</v>
      </c>
      <c r="D1267" s="4">
        <f t="shared" si="5"/>
        <v>-0.001806140879</v>
      </c>
      <c r="E1267" s="2"/>
    </row>
    <row r="1268">
      <c r="A1268" s="1" t="s">
        <v>6</v>
      </c>
      <c r="B1268" s="3">
        <f>IFERROR(__xludf.DUMMYFUNCTION("""COMPUTED_VALUE"""),45952.66666666667)</f>
        <v>45952.66667</v>
      </c>
      <c r="C1268" s="4">
        <f>IFERROR(__xludf.DUMMYFUNCTION("""COMPUTED_VALUE"""),34.32)</f>
        <v>34.32</v>
      </c>
      <c r="D1268" s="4">
        <f t="shared" si="5"/>
        <v>0.03498190591</v>
      </c>
      <c r="E1268" s="2"/>
    </row>
    <row r="1269">
      <c r="A1269" s="1" t="s">
        <v>6</v>
      </c>
      <c r="B1269" s="3">
        <f>IFERROR(__xludf.DUMMYFUNCTION("""COMPUTED_VALUE"""),45953.66666666667)</f>
        <v>45953.66667</v>
      </c>
      <c r="C1269" s="4">
        <f>IFERROR(__xludf.DUMMYFUNCTION("""COMPUTED_VALUE"""),35.0)</f>
        <v>35</v>
      </c>
      <c r="D1269" s="4">
        <f t="shared" si="5"/>
        <v>0.01981351981</v>
      </c>
      <c r="E1269" s="2"/>
    </row>
    <row r="1270">
      <c r="A1270" s="1" t="s">
        <v>6</v>
      </c>
      <c r="B1270" s="3">
        <f>IFERROR(__xludf.DUMMYFUNCTION("""COMPUTED_VALUE"""),45954.66666666667)</f>
        <v>45954.66667</v>
      </c>
      <c r="C1270" s="4">
        <f>IFERROR(__xludf.DUMMYFUNCTION("""COMPUTED_VALUE"""),34.54)</f>
        <v>34.54</v>
      </c>
      <c r="D1270" s="4">
        <f t="shared" si="5"/>
        <v>-0.01314285714</v>
      </c>
      <c r="E1270" s="2"/>
    </row>
    <row r="1271">
      <c r="A1271" s="1" t="s">
        <v>6</v>
      </c>
      <c r="B1271" s="3">
        <f>IFERROR(__xludf.DUMMYFUNCTION("""COMPUTED_VALUE"""),45957.66666666667)</f>
        <v>45957.66667</v>
      </c>
      <c r="C1271" s="4">
        <f>IFERROR(__xludf.DUMMYFUNCTION("""COMPUTED_VALUE"""),34.77)</f>
        <v>34.77</v>
      </c>
      <c r="D1271" s="4">
        <f t="shared" si="5"/>
        <v>0.006658946149</v>
      </c>
      <c r="E1271" s="2"/>
    </row>
    <row r="1272">
      <c r="A1272" s="1" t="s">
        <v>6</v>
      </c>
      <c r="B1272" s="3">
        <f>IFERROR(__xludf.DUMMYFUNCTION("""COMPUTED_VALUE"""),45958.66666666667)</f>
        <v>45958.66667</v>
      </c>
      <c r="C1272" s="4">
        <f>IFERROR(__xludf.DUMMYFUNCTION("""COMPUTED_VALUE"""),34.46)</f>
        <v>34.46</v>
      </c>
      <c r="D1272" s="4">
        <f t="shared" si="5"/>
        <v>-0.008915731953</v>
      </c>
      <c r="E1272" s="2"/>
    </row>
    <row r="1273">
      <c r="A1273" s="1" t="s">
        <v>6</v>
      </c>
      <c r="B1273" s="3">
        <f>IFERROR(__xludf.DUMMYFUNCTION("""COMPUTED_VALUE"""),45959.66666666667)</f>
        <v>45959.66667</v>
      </c>
      <c r="C1273" s="4">
        <f>IFERROR(__xludf.DUMMYFUNCTION("""COMPUTED_VALUE"""),35.2)</f>
        <v>35.2</v>
      </c>
      <c r="D1273" s="4">
        <f t="shared" si="5"/>
        <v>0.02147417295</v>
      </c>
      <c r="E1273" s="2"/>
    </row>
    <row r="1274">
      <c r="A1274" s="1" t="s">
        <v>6</v>
      </c>
      <c r="B1274" s="3">
        <f>IFERROR(__xludf.DUMMYFUNCTION("""COMPUTED_VALUE"""),45960.66666666667)</f>
        <v>45960.66667</v>
      </c>
      <c r="C1274" s="4">
        <f>IFERROR(__xludf.DUMMYFUNCTION("""COMPUTED_VALUE"""),34.77)</f>
        <v>34.77</v>
      </c>
      <c r="D1274" s="4">
        <f t="shared" si="5"/>
        <v>-0.01221590909</v>
      </c>
      <c r="E1274" s="2"/>
    </row>
    <row r="1275">
      <c r="A1275" s="1" t="s">
        <v>6</v>
      </c>
      <c r="B1275" s="3">
        <f>IFERROR(__xludf.DUMMYFUNCTION("""COMPUTED_VALUE"""),45961.66666666667)</f>
        <v>45961.66667</v>
      </c>
      <c r="C1275" s="4">
        <f>IFERROR(__xludf.DUMMYFUNCTION("""COMPUTED_VALUE"""),35.13)</f>
        <v>35.13</v>
      </c>
      <c r="D1275" s="4">
        <f t="shared" si="5"/>
        <v>0.01035375324</v>
      </c>
      <c r="E1275" s="2"/>
    </row>
    <row r="1276">
      <c r="A1276" s="1" t="s">
        <v>6</v>
      </c>
      <c r="B1276" s="3">
        <f>IFERROR(__xludf.DUMMYFUNCTION("""COMPUTED_VALUE"""),45964.66666666667)</f>
        <v>45964.66667</v>
      </c>
      <c r="C1276" s="4">
        <f>IFERROR(__xludf.DUMMYFUNCTION("""COMPUTED_VALUE"""),34.87)</f>
        <v>34.87</v>
      </c>
      <c r="D1276" s="4">
        <f t="shared" si="5"/>
        <v>-0.007401081697</v>
      </c>
      <c r="E1276" s="2"/>
    </row>
    <row r="1277">
      <c r="A1277" s="1" t="s">
        <v>6</v>
      </c>
      <c r="B1277" s="3">
        <f>IFERROR(__xludf.DUMMYFUNCTION("""COMPUTED_VALUE"""),45965.66666666667)</f>
        <v>45965.66667</v>
      </c>
      <c r="C1277" s="4">
        <f>IFERROR(__xludf.DUMMYFUNCTION("""COMPUTED_VALUE"""),35.12)</f>
        <v>35.12</v>
      </c>
      <c r="D1277" s="4">
        <f t="shared" si="5"/>
        <v>0.007169486665</v>
      </c>
      <c r="E1277" s="2"/>
    </row>
    <row r="1278">
      <c r="A1278" s="1" t="s">
        <v>6</v>
      </c>
      <c r="B1278" s="3">
        <f>IFERROR(__xludf.DUMMYFUNCTION("""COMPUTED_VALUE"""),45966.66666666667)</f>
        <v>45966.66667</v>
      </c>
      <c r="C1278" s="4">
        <f>IFERROR(__xludf.DUMMYFUNCTION("""COMPUTED_VALUE"""),35.68)</f>
        <v>35.68</v>
      </c>
      <c r="D1278" s="4">
        <f t="shared" si="5"/>
        <v>0.0159453303</v>
      </c>
      <c r="E1278" s="2"/>
    </row>
    <row r="1279">
      <c r="A1279" s="1" t="s">
        <v>6</v>
      </c>
      <c r="B1279" s="3">
        <f>IFERROR(__xludf.DUMMYFUNCTION("""COMPUTED_VALUE"""),45967.66666666667)</f>
        <v>45967.66667</v>
      </c>
      <c r="C1279" s="4">
        <f>IFERROR(__xludf.DUMMYFUNCTION("""COMPUTED_VALUE"""),35.82)</f>
        <v>35.82</v>
      </c>
      <c r="D1279" s="4">
        <f t="shared" si="5"/>
        <v>0.003923766816</v>
      </c>
      <c r="E1279" s="2"/>
    </row>
    <row r="1280">
      <c r="A1280" s="1" t="s">
        <v>6</v>
      </c>
      <c r="B1280" s="3">
        <f>IFERROR(__xludf.DUMMYFUNCTION("""COMPUTED_VALUE"""),45968.66666666667)</f>
        <v>45968.66667</v>
      </c>
      <c r="C1280" s="4">
        <f>IFERROR(__xludf.DUMMYFUNCTION("""COMPUTED_VALUE"""),36.58)</f>
        <v>36.58</v>
      </c>
      <c r="D1280" s="4">
        <f t="shared" si="5"/>
        <v>0.0212171971</v>
      </c>
      <c r="E1280" s="2"/>
    </row>
    <row r="1281">
      <c r="A1281" s="1" t="s">
        <v>6</v>
      </c>
      <c r="B1281" s="3">
        <f>IFERROR(__xludf.DUMMYFUNCTION("""COMPUTED_VALUE"""),45971.66666666667)</f>
        <v>45971.66667</v>
      </c>
      <c r="C1281" s="4">
        <f>IFERROR(__xludf.DUMMYFUNCTION("""COMPUTED_VALUE"""),37.12)</f>
        <v>37.12</v>
      </c>
      <c r="D1281" s="4">
        <f t="shared" si="5"/>
        <v>0.01476216512</v>
      </c>
      <c r="E1281" s="2"/>
    </row>
    <row r="1282">
      <c r="A1282" s="1" t="s">
        <v>6</v>
      </c>
      <c r="B1282" s="3">
        <f>IFERROR(__xludf.DUMMYFUNCTION("""COMPUTED_VALUE"""),45972.66666666667)</f>
        <v>45972.66667</v>
      </c>
      <c r="C1282" s="4">
        <f>IFERROR(__xludf.DUMMYFUNCTION("""COMPUTED_VALUE"""),37.35)</f>
        <v>37.35</v>
      </c>
      <c r="D1282" s="4">
        <f t="shared" si="5"/>
        <v>0.00619612069</v>
      </c>
      <c r="E1282" s="2"/>
    </row>
    <row r="1283">
      <c r="A1283" s="1" t="s">
        <v>6</v>
      </c>
      <c r="B1283" s="3">
        <f>IFERROR(__xludf.DUMMYFUNCTION("""COMPUTED_VALUE"""),45973.66666666667)</f>
        <v>45973.66667</v>
      </c>
      <c r="C1283" s="4">
        <f>IFERROR(__xludf.DUMMYFUNCTION("""COMPUTED_VALUE"""),36.86)</f>
        <v>36.86</v>
      </c>
      <c r="D1283" s="4">
        <f t="shared" si="5"/>
        <v>-0.01311914324</v>
      </c>
      <c r="E1283" s="2"/>
    </row>
    <row r="1284">
      <c r="A1284" s="1" t="s">
        <v>6</v>
      </c>
      <c r="B1284" s="3">
        <f>IFERROR(__xludf.DUMMYFUNCTION("""COMPUTED_VALUE"""),45974.66666666667)</f>
        <v>45974.66667</v>
      </c>
      <c r="C1284" s="4">
        <f>IFERROR(__xludf.DUMMYFUNCTION("""COMPUTED_VALUE"""),36.49)</f>
        <v>36.49</v>
      </c>
      <c r="D1284" s="4">
        <f t="shared" si="5"/>
        <v>-0.01003798155</v>
      </c>
      <c r="E1284" s="2"/>
    </row>
    <row r="1285">
      <c r="A1285" s="1" t="s">
        <v>6</v>
      </c>
      <c r="B1285" s="3">
        <f>IFERROR(__xludf.DUMMYFUNCTION("""COMPUTED_VALUE"""),45975.66666666667)</f>
        <v>45975.66667</v>
      </c>
      <c r="C1285" s="4">
        <f>IFERROR(__xludf.DUMMYFUNCTION("""COMPUTED_VALUE"""),36.53)</f>
        <v>36.53</v>
      </c>
      <c r="D1285" s="4">
        <f t="shared" si="5"/>
        <v>0.001096190737</v>
      </c>
      <c r="E1285" s="2"/>
    </row>
    <row r="1286">
      <c r="A1286" s="1" t="s">
        <v>6</v>
      </c>
      <c r="B1286" s="3">
        <f>IFERROR(__xludf.DUMMYFUNCTION("""COMPUTED_VALUE"""),45978.66666666667)</f>
        <v>45978.66667</v>
      </c>
      <c r="C1286" s="4">
        <f>IFERROR(__xludf.DUMMYFUNCTION("""COMPUTED_VALUE"""),36.5)</f>
        <v>36.5</v>
      </c>
      <c r="D1286" s="4">
        <f t="shared" si="5"/>
        <v>-0.0008212428141</v>
      </c>
      <c r="E1286" s="2"/>
    </row>
    <row r="1287">
      <c r="A1287" s="1" t="s">
        <v>6</v>
      </c>
      <c r="B1287" s="3">
        <f>IFERROR(__xludf.DUMMYFUNCTION("""COMPUTED_VALUE"""),45979.66666666667)</f>
        <v>45979.66667</v>
      </c>
      <c r="C1287" s="4">
        <f>IFERROR(__xludf.DUMMYFUNCTION("""COMPUTED_VALUE"""),36.69)</f>
        <v>36.69</v>
      </c>
      <c r="D1287" s="4">
        <f t="shared" si="5"/>
        <v>0.005205479452</v>
      </c>
      <c r="E1287" s="2"/>
    </row>
    <row r="1288">
      <c r="A1288" s="1" t="s">
        <v>6</v>
      </c>
      <c r="B1288" s="3">
        <f>IFERROR(__xludf.DUMMYFUNCTION("""COMPUTED_VALUE"""),45980.66666666667)</f>
        <v>45980.66667</v>
      </c>
      <c r="C1288" s="4">
        <f>IFERROR(__xludf.DUMMYFUNCTION("""COMPUTED_VALUE"""),35.95)</f>
        <v>35.95</v>
      </c>
      <c r="D1288" s="4">
        <f t="shared" si="5"/>
        <v>-0.02016898337</v>
      </c>
      <c r="E1288" s="2"/>
    </row>
    <row r="1289">
      <c r="A1289" s="1" t="s">
        <v>6</v>
      </c>
      <c r="B1289" s="3">
        <f>IFERROR(__xludf.DUMMYFUNCTION("""COMPUTED_VALUE"""),45981.66666666667)</f>
        <v>45981.66667</v>
      </c>
      <c r="C1289" s="4">
        <f>IFERROR(__xludf.DUMMYFUNCTION("""COMPUTED_VALUE"""),35.72)</f>
        <v>35.72</v>
      </c>
      <c r="D1289" s="4">
        <f t="shared" si="5"/>
        <v>-0.006397774687</v>
      </c>
      <c r="E1289" s="2"/>
    </row>
    <row r="1290">
      <c r="A1290" s="1" t="s">
        <v>6</v>
      </c>
      <c r="B1290" s="3">
        <f>IFERROR(__xludf.DUMMYFUNCTION("""COMPUTED_VALUE"""),45982.66666666667)</f>
        <v>45982.66667</v>
      </c>
      <c r="C1290" s="4">
        <f>IFERROR(__xludf.DUMMYFUNCTION("""COMPUTED_VALUE"""),35.98)</f>
        <v>35.98</v>
      </c>
      <c r="D1290" s="4">
        <f t="shared" si="5"/>
        <v>0.007278835386</v>
      </c>
      <c r="E1290" s="2"/>
    </row>
    <row r="1291">
      <c r="A1291" s="1" t="s">
        <v>6</v>
      </c>
      <c r="B1291" s="3">
        <f>IFERROR(__xludf.DUMMYFUNCTION("""COMPUTED_VALUE"""),45985.66666666667)</f>
        <v>45985.66667</v>
      </c>
      <c r="C1291" s="4">
        <f>IFERROR(__xludf.DUMMYFUNCTION("""COMPUTED_VALUE"""),35.91)</f>
        <v>35.91</v>
      </c>
      <c r="D1291" s="4">
        <f t="shared" si="5"/>
        <v>-0.001945525292</v>
      </c>
      <c r="E1291" s="2"/>
    </row>
    <row r="1292">
      <c r="A1292" s="1" t="s">
        <v>6</v>
      </c>
      <c r="B1292" s="3">
        <f>IFERROR(__xludf.DUMMYFUNCTION("""COMPUTED_VALUE"""),45986.66666666667)</f>
        <v>45986.66667</v>
      </c>
      <c r="C1292" s="4">
        <f>IFERROR(__xludf.DUMMYFUNCTION("""COMPUTED_VALUE"""),35.69)</f>
        <v>35.69</v>
      </c>
      <c r="D1292" s="4">
        <f t="shared" si="5"/>
        <v>-0.006126427179</v>
      </c>
      <c r="E1292" s="2"/>
    </row>
    <row r="1293">
      <c r="A1293" s="1" t="s">
        <v>6</v>
      </c>
      <c r="B1293" s="3">
        <f>IFERROR(__xludf.DUMMYFUNCTION("""COMPUTED_VALUE"""),45987.66666666667)</f>
        <v>45987.66667</v>
      </c>
      <c r="C1293" s="4">
        <f>IFERROR(__xludf.DUMMYFUNCTION("""COMPUTED_VALUE"""),35.93)</f>
        <v>35.93</v>
      </c>
      <c r="D1293" s="4">
        <f t="shared" si="5"/>
        <v>0.006724572709</v>
      </c>
      <c r="E1293" s="2"/>
    </row>
    <row r="1294">
      <c r="A1294" s="1" t="s">
        <v>6</v>
      </c>
      <c r="B1294" s="3">
        <f>IFERROR(__xludf.DUMMYFUNCTION("""COMPUTED_VALUE"""),45989.54166666667)</f>
        <v>45989.54167</v>
      </c>
      <c r="C1294" s="4">
        <f>IFERROR(__xludf.DUMMYFUNCTION("""COMPUTED_VALUE"""),36.1)</f>
        <v>36.1</v>
      </c>
      <c r="D1294" s="4">
        <f t="shared" si="5"/>
        <v>0.00473142221</v>
      </c>
      <c r="E1294" s="2"/>
    </row>
    <row r="1295">
      <c r="A1295" s="1" t="s">
        <v>6</v>
      </c>
      <c r="B1295" s="3">
        <f>IFERROR(__xludf.DUMMYFUNCTION("""COMPUTED_VALUE"""),45992.66666666667)</f>
        <v>45992.66667</v>
      </c>
      <c r="C1295" s="4">
        <f>IFERROR(__xludf.DUMMYFUNCTION("""COMPUTED_VALUE"""),36.51)</f>
        <v>36.51</v>
      </c>
      <c r="D1295" s="4">
        <f t="shared" si="5"/>
        <v>0.01135734072</v>
      </c>
      <c r="E1295" s="2"/>
    </row>
    <row r="1296">
      <c r="A1296" s="1" t="s">
        <v>6</v>
      </c>
      <c r="B1296" s="3">
        <f>IFERROR(__xludf.DUMMYFUNCTION("""COMPUTED_VALUE"""),45993.66666666667)</f>
        <v>45993.66667</v>
      </c>
      <c r="C1296" s="4">
        <f>IFERROR(__xludf.DUMMYFUNCTION("""COMPUTED_VALUE"""),36.36)</f>
        <v>36.36</v>
      </c>
      <c r="D1296" s="4">
        <f t="shared" si="5"/>
        <v>-0.004108463435</v>
      </c>
      <c r="E1296" s="2"/>
    </row>
    <row r="1297">
      <c r="A1297" s="1" t="s">
        <v>6</v>
      </c>
      <c r="B1297" s="3">
        <f>IFERROR(__xludf.DUMMYFUNCTION("""COMPUTED_VALUE"""),45994.66666666667)</f>
        <v>45994.66667</v>
      </c>
      <c r="C1297" s="4">
        <f>IFERROR(__xludf.DUMMYFUNCTION("""COMPUTED_VALUE"""),37.24)</f>
        <v>37.24</v>
      </c>
      <c r="D1297" s="4">
        <f t="shared" si="5"/>
        <v>0.02420242024</v>
      </c>
      <c r="E1297" s="2"/>
    </row>
    <row r="1298">
      <c r="A1298" s="1" t="s">
        <v>6</v>
      </c>
      <c r="B1298" s="3">
        <f>IFERROR(__xludf.DUMMYFUNCTION("""COMPUTED_VALUE"""),45995.66666666667)</f>
        <v>45995.66667</v>
      </c>
      <c r="C1298" s="4">
        <f>IFERROR(__xludf.DUMMYFUNCTION("""COMPUTED_VALUE"""),37.23)</f>
        <v>37.23</v>
      </c>
      <c r="D1298" s="4">
        <f t="shared" si="5"/>
        <v>-0.000268528464</v>
      </c>
      <c r="E1298" s="2"/>
    </row>
    <row r="1299">
      <c r="A1299" s="1" t="s">
        <v>6</v>
      </c>
      <c r="B1299" s="3">
        <f>IFERROR(__xludf.DUMMYFUNCTION("""COMPUTED_VALUE"""),45996.66666666667)</f>
        <v>45996.66667</v>
      </c>
      <c r="C1299" s="4">
        <f>IFERROR(__xludf.DUMMYFUNCTION("""COMPUTED_VALUE"""),35.83)</f>
        <v>35.83</v>
      </c>
      <c r="D1299" s="4">
        <f t="shared" si="5"/>
        <v>-0.03760408273</v>
      </c>
      <c r="E1299" s="2"/>
    </row>
    <row r="1300">
      <c r="A1300" s="1" t="s">
        <v>6</v>
      </c>
      <c r="B1300" s="3">
        <f>IFERROR(__xludf.DUMMYFUNCTION("""COMPUTED_VALUE"""),45999.66666666667)</f>
        <v>45999.66667</v>
      </c>
      <c r="C1300" s="4">
        <f>IFERROR(__xludf.DUMMYFUNCTION("""COMPUTED_VALUE"""),35.78)</f>
        <v>35.78</v>
      </c>
      <c r="D1300" s="4">
        <f t="shared" si="5"/>
        <v>-0.001395478649</v>
      </c>
      <c r="E1300" s="2"/>
    </row>
    <row r="1301">
      <c r="A1301" s="2"/>
      <c r="B1301" s="5">
        <f>IFERROR(__xludf.DUMMYFUNCTION("""COMPUTED_VALUE"""),46000.66666666667)</f>
        <v>46000.66667</v>
      </c>
      <c r="C1301" s="2">
        <f>IFERROR(__xludf.DUMMYFUNCTION("""COMPUTED_VALUE"""),35.55)</f>
        <v>35.55</v>
      </c>
      <c r="D1301" s="2"/>
      <c r="E1301" s="2"/>
    </row>
    <row r="1302">
      <c r="A1302" s="2"/>
      <c r="B1302" s="2"/>
      <c r="C1302" s="2"/>
      <c r="D1302" s="2"/>
      <c r="E1302" s="2"/>
    </row>
    <row r="1303">
      <c r="A1303" s="2"/>
      <c r="B1303" s="2"/>
      <c r="C1303" s="2"/>
      <c r="D1303" s="2"/>
      <c r="E1303" s="2"/>
    </row>
    <row r="1304">
      <c r="A1304" s="2"/>
      <c r="B1304" s="2"/>
      <c r="C1304" s="2"/>
      <c r="D1304" s="2"/>
      <c r="E1304" s="2"/>
    </row>
    <row r="1305">
      <c r="A1305" s="2"/>
      <c r="B1305" s="2"/>
      <c r="C1305" s="2"/>
      <c r="D1305" s="2"/>
      <c r="E1305" s="2"/>
    </row>
    <row r="1306">
      <c r="A1306" s="2"/>
      <c r="B1306" s="2"/>
      <c r="C1306" s="2"/>
      <c r="D1306" s="2"/>
      <c r="E1306" s="2"/>
    </row>
    <row r="1307">
      <c r="A1307" s="2"/>
      <c r="B1307" s="2"/>
      <c r="C1307" s="2"/>
      <c r="D1307" s="2"/>
      <c r="E1307" s="2"/>
    </row>
    <row r="1308">
      <c r="A1308" s="2"/>
      <c r="B1308" s="2"/>
      <c r="C1308" s="2"/>
      <c r="D1308" s="2"/>
      <c r="E1308" s="2"/>
    </row>
    <row r="1309">
      <c r="A1309" s="2"/>
      <c r="B1309" s="2"/>
      <c r="C1309" s="2"/>
      <c r="D1309" s="2"/>
      <c r="E1309" s="2"/>
    </row>
    <row r="1310">
      <c r="A1310" s="2"/>
      <c r="B1310" s="2"/>
      <c r="C1310" s="2"/>
      <c r="D1310" s="2"/>
      <c r="E1310" s="2"/>
    </row>
    <row r="1311">
      <c r="A1311" s="2"/>
      <c r="B1311" s="2"/>
      <c r="C1311" s="2"/>
      <c r="D1311" s="2"/>
      <c r="E1311" s="2"/>
    </row>
    <row r="1312">
      <c r="A1312" s="2"/>
      <c r="B1312" s="2"/>
      <c r="C1312" s="2"/>
      <c r="D1312" s="2"/>
      <c r="E1312" s="2"/>
    </row>
    <row r="1313">
      <c r="A1313" s="2"/>
      <c r="B1313" s="2"/>
      <c r="C1313" s="2"/>
      <c r="D1313" s="2"/>
      <c r="E1313" s="2"/>
    </row>
    <row r="1314">
      <c r="A1314" s="2"/>
      <c r="B1314" s="2"/>
      <c r="C1314" s="2"/>
      <c r="D1314" s="2"/>
      <c r="E1314" s="2"/>
    </row>
    <row r="1315">
      <c r="A1315" s="2"/>
      <c r="B1315" s="2"/>
      <c r="C1315" s="2"/>
      <c r="D1315" s="2"/>
      <c r="E1315" s="2"/>
    </row>
    <row r="1316">
      <c r="A1316" s="2"/>
      <c r="B1316" s="2"/>
      <c r="C1316" s="2"/>
      <c r="D1316" s="2"/>
      <c r="E1316" s="2"/>
    </row>
    <row r="1317">
      <c r="A1317" s="2"/>
      <c r="B1317" s="2"/>
      <c r="C1317" s="2"/>
      <c r="D1317" s="2"/>
      <c r="E1317" s="2"/>
    </row>
    <row r="1318">
      <c r="A1318" s="2"/>
      <c r="B1318" s="2"/>
      <c r="C1318" s="2"/>
      <c r="D1318" s="2"/>
      <c r="E1318" s="2"/>
    </row>
    <row r="1319">
      <c r="A1319" s="2"/>
      <c r="B1319" s="2"/>
      <c r="C1319" s="2"/>
      <c r="D1319" s="2"/>
      <c r="E1319" s="2"/>
    </row>
    <row r="1320">
      <c r="A1320" s="2"/>
      <c r="B1320" s="2"/>
      <c r="C1320" s="2"/>
      <c r="D1320" s="2"/>
      <c r="E1320" s="2"/>
    </row>
    <row r="1321">
      <c r="A1321" s="2"/>
      <c r="B1321" s="2"/>
      <c r="C1321" s="2"/>
      <c r="D1321" s="2"/>
      <c r="E1321" s="2"/>
    </row>
    <row r="1322">
      <c r="A1322" s="2"/>
      <c r="B1322" s="2"/>
      <c r="C1322" s="2"/>
      <c r="D1322" s="2"/>
      <c r="E1322" s="2"/>
    </row>
    <row r="1323">
      <c r="A1323" s="2"/>
      <c r="B1323" s="2"/>
      <c r="C1323" s="2"/>
      <c r="D1323" s="2"/>
      <c r="E1323" s="2"/>
    </row>
    <row r="1324">
      <c r="A1324" s="2"/>
      <c r="B1324" s="2"/>
      <c r="C1324" s="2"/>
      <c r="D1324" s="2"/>
      <c r="E1324" s="2"/>
    </row>
    <row r="1325">
      <c r="A1325" s="2"/>
      <c r="B1325" s="2"/>
      <c r="C1325" s="2"/>
      <c r="D1325" s="2"/>
      <c r="E1325" s="2"/>
    </row>
    <row r="1326">
      <c r="A1326" s="2"/>
      <c r="B1326" s="2"/>
      <c r="C1326" s="2"/>
      <c r="D1326" s="2"/>
      <c r="E1326" s="2"/>
    </row>
    <row r="1327">
      <c r="A1327" s="2"/>
      <c r="B1327" s="2"/>
      <c r="C1327" s="2"/>
      <c r="D1327" s="2"/>
      <c r="E1327" s="2"/>
    </row>
    <row r="1328">
      <c r="A1328" s="2"/>
      <c r="B1328" s="2"/>
      <c r="C1328" s="2"/>
      <c r="D1328" s="2"/>
      <c r="E1328" s="2"/>
    </row>
    <row r="1329">
      <c r="A1329" s="2"/>
      <c r="B1329" s="2"/>
      <c r="C1329" s="2"/>
      <c r="D1329" s="2"/>
      <c r="E1329" s="2"/>
    </row>
    <row r="1330">
      <c r="A1330" s="2"/>
      <c r="B1330" s="2"/>
      <c r="C1330" s="2"/>
      <c r="D1330" s="2"/>
      <c r="E1330" s="2"/>
    </row>
    <row r="1331">
      <c r="A1331" s="2"/>
      <c r="B1331" s="2"/>
      <c r="C1331" s="2"/>
      <c r="D1331" s="2"/>
      <c r="E1331" s="2"/>
    </row>
    <row r="1332">
      <c r="A1332" s="2"/>
      <c r="B1332" s="2"/>
      <c r="C1332" s="2"/>
      <c r="D1332" s="2"/>
      <c r="E1332" s="2"/>
    </row>
    <row r="1333">
      <c r="A1333" s="2"/>
      <c r="B1333" s="2"/>
      <c r="C1333" s="2"/>
      <c r="D1333" s="2"/>
      <c r="E1333" s="2"/>
    </row>
    <row r="1334">
      <c r="A1334" s="2"/>
      <c r="B1334" s="2"/>
      <c r="C1334" s="2"/>
      <c r="D1334" s="2"/>
      <c r="E1334" s="2"/>
    </row>
    <row r="1335">
      <c r="A1335" s="2"/>
      <c r="B1335" s="2"/>
      <c r="C1335" s="2"/>
      <c r="D1335" s="2"/>
      <c r="E1335" s="2"/>
    </row>
    <row r="1336">
      <c r="A1336" s="2"/>
      <c r="B1336" s="2"/>
      <c r="C1336" s="2"/>
      <c r="D1336" s="2"/>
      <c r="E1336" s="2"/>
    </row>
    <row r="1337">
      <c r="A1337" s="2"/>
      <c r="B1337" s="2"/>
      <c r="C1337" s="2"/>
      <c r="D1337" s="2"/>
      <c r="E1337" s="2"/>
    </row>
    <row r="1338">
      <c r="A1338" s="2"/>
      <c r="B1338" s="2"/>
      <c r="C1338" s="2"/>
      <c r="D1338" s="2"/>
      <c r="E1338" s="2"/>
    </row>
    <row r="1339">
      <c r="A1339" s="2"/>
      <c r="B1339" s="2"/>
      <c r="C1339" s="2"/>
      <c r="D1339" s="2"/>
      <c r="E1339" s="2"/>
    </row>
    <row r="1340">
      <c r="A1340" s="2"/>
      <c r="B1340" s="2"/>
      <c r="C1340" s="2"/>
      <c r="D1340" s="2"/>
      <c r="E1340" s="2"/>
    </row>
    <row r="1341">
      <c r="A1341" s="2"/>
      <c r="B1341" s="2"/>
      <c r="C1341" s="2"/>
      <c r="D1341" s="2"/>
      <c r="E1341" s="2"/>
    </row>
    <row r="1342">
      <c r="A1342" s="2"/>
      <c r="B1342" s="2"/>
      <c r="C1342" s="2"/>
      <c r="D1342" s="2"/>
      <c r="E1342" s="2"/>
    </row>
    <row r="1343">
      <c r="A1343" s="2"/>
      <c r="B1343" s="2"/>
      <c r="C1343" s="2"/>
      <c r="D1343" s="2"/>
      <c r="E1343" s="2"/>
    </row>
    <row r="1344">
      <c r="A1344" s="2"/>
      <c r="B1344" s="2"/>
      <c r="C1344" s="2"/>
      <c r="D1344" s="2"/>
      <c r="E1344" s="2"/>
    </row>
    <row r="1345">
      <c r="A1345" s="2"/>
      <c r="B1345" s="2"/>
      <c r="C1345" s="2"/>
      <c r="D1345" s="2"/>
      <c r="E1345" s="2"/>
    </row>
    <row r="1346">
      <c r="A1346" s="2"/>
      <c r="B1346" s="2"/>
      <c r="C1346" s="2"/>
      <c r="D1346" s="2"/>
      <c r="E1346" s="2"/>
    </row>
    <row r="1347">
      <c r="A1347" s="2"/>
      <c r="B1347" s="2"/>
      <c r="C1347" s="2"/>
      <c r="D1347" s="2"/>
      <c r="E1347" s="2"/>
    </row>
    <row r="1348">
      <c r="A1348" s="2"/>
      <c r="B1348" s="2"/>
      <c r="C1348" s="2"/>
      <c r="D1348" s="2"/>
      <c r="E1348" s="2"/>
    </row>
    <row r="1349">
      <c r="A1349" s="2"/>
      <c r="B1349" s="2"/>
      <c r="C1349" s="2"/>
      <c r="D1349" s="2"/>
      <c r="E1349" s="2"/>
    </row>
    <row r="1350">
      <c r="A1350" s="2"/>
      <c r="B1350" s="2"/>
      <c r="C1350" s="2"/>
      <c r="D1350" s="2"/>
      <c r="E1350" s="2"/>
    </row>
    <row r="1351">
      <c r="A1351" s="2"/>
      <c r="B1351" s="2"/>
      <c r="C1351" s="2"/>
      <c r="D1351" s="2"/>
      <c r="E1351" s="2"/>
    </row>
    <row r="1352">
      <c r="A1352" s="2"/>
      <c r="B1352" s="2"/>
      <c r="C1352" s="2"/>
      <c r="D1352" s="2"/>
      <c r="E1352" s="2"/>
    </row>
    <row r="1353">
      <c r="A1353" s="2"/>
      <c r="B1353" s="2"/>
      <c r="C1353" s="2"/>
      <c r="D1353" s="2"/>
      <c r="E1353" s="2"/>
    </row>
    <row r="1354">
      <c r="A1354" s="2"/>
      <c r="B1354" s="2"/>
      <c r="C1354" s="2"/>
      <c r="D1354" s="2"/>
      <c r="E1354" s="2"/>
    </row>
    <row r="1355">
      <c r="A1355" s="2"/>
      <c r="B1355" s="2"/>
      <c r="C1355" s="2"/>
      <c r="D1355" s="2"/>
      <c r="E1355" s="2"/>
    </row>
    <row r="1356">
      <c r="A1356" s="2"/>
      <c r="B1356" s="2"/>
      <c r="C1356" s="2"/>
      <c r="D1356" s="2"/>
      <c r="E1356" s="2"/>
    </row>
    <row r="1357">
      <c r="A1357" s="2"/>
      <c r="B1357" s="2"/>
      <c r="C1357" s="2"/>
      <c r="D1357" s="2"/>
      <c r="E1357" s="2"/>
    </row>
    <row r="1358">
      <c r="A1358" s="2"/>
      <c r="B1358" s="2"/>
      <c r="C1358" s="2"/>
      <c r="D1358" s="2"/>
      <c r="E1358" s="2"/>
    </row>
    <row r="1359">
      <c r="A1359" s="2"/>
      <c r="B1359" s="2"/>
      <c r="C1359" s="2"/>
      <c r="D1359" s="2"/>
      <c r="E1359" s="2"/>
    </row>
    <row r="1360">
      <c r="A1360" s="2"/>
      <c r="B1360" s="2"/>
      <c r="C1360" s="2"/>
      <c r="D1360" s="2"/>
      <c r="E1360" s="2"/>
    </row>
    <row r="1361">
      <c r="A1361" s="2"/>
      <c r="B1361" s="2"/>
      <c r="C1361" s="2"/>
      <c r="D1361" s="2"/>
      <c r="E1361" s="2"/>
    </row>
    <row r="1362">
      <c r="A1362" s="2"/>
      <c r="B1362" s="2"/>
      <c r="C1362" s="2"/>
      <c r="D1362" s="2"/>
      <c r="E1362" s="2"/>
    </row>
    <row r="1363">
      <c r="A1363" s="2"/>
      <c r="B1363" s="2"/>
      <c r="C1363" s="2"/>
      <c r="D1363" s="2"/>
      <c r="E1363" s="2"/>
    </row>
    <row r="1364">
      <c r="A1364" s="2"/>
      <c r="B1364" s="2"/>
      <c r="C1364" s="2"/>
      <c r="D1364" s="2"/>
      <c r="E1364" s="2"/>
    </row>
    <row r="1365">
      <c r="A1365" s="2"/>
      <c r="B1365" s="2"/>
      <c r="C1365" s="2"/>
      <c r="D1365" s="2"/>
      <c r="E1365" s="2"/>
    </row>
    <row r="1366">
      <c r="A1366" s="2"/>
      <c r="B1366" s="2"/>
      <c r="C1366" s="2"/>
      <c r="D1366" s="2"/>
      <c r="E1366" s="2"/>
    </row>
    <row r="1367">
      <c r="A1367" s="2"/>
      <c r="B1367" s="2"/>
      <c r="C1367" s="2"/>
      <c r="D1367" s="2"/>
      <c r="E1367" s="2"/>
    </row>
    <row r="1368">
      <c r="A1368" s="2"/>
      <c r="B1368" s="2"/>
      <c r="C1368" s="2"/>
      <c r="D1368" s="2"/>
      <c r="E1368" s="2"/>
    </row>
    <row r="1369">
      <c r="A1369" s="2"/>
      <c r="B1369" s="2"/>
      <c r="C1369" s="2"/>
      <c r="D1369" s="2"/>
      <c r="E1369" s="2"/>
    </row>
    <row r="1370">
      <c r="A1370" s="2"/>
      <c r="B1370" s="2"/>
      <c r="C1370" s="2"/>
      <c r="D1370" s="2"/>
      <c r="E1370" s="2"/>
    </row>
    <row r="1371">
      <c r="A1371" s="2"/>
      <c r="B1371" s="2"/>
      <c r="C1371" s="2"/>
      <c r="D1371" s="2"/>
      <c r="E1371" s="2"/>
    </row>
    <row r="1372">
      <c r="A1372" s="2"/>
      <c r="B1372" s="2"/>
      <c r="C1372" s="2"/>
      <c r="D1372" s="2"/>
      <c r="E1372" s="2"/>
    </row>
    <row r="1373">
      <c r="A1373" s="2"/>
      <c r="B1373" s="2"/>
      <c r="C1373" s="2"/>
      <c r="D1373" s="2"/>
      <c r="E1373" s="2"/>
    </row>
    <row r="1374">
      <c r="A1374" s="2"/>
      <c r="B1374" s="2"/>
      <c r="C1374" s="2"/>
      <c r="D1374" s="2"/>
      <c r="E1374" s="2"/>
    </row>
    <row r="1375">
      <c r="A1375" s="2"/>
      <c r="B1375" s="2"/>
      <c r="C1375" s="2"/>
      <c r="D1375" s="2"/>
      <c r="E1375" s="2"/>
    </row>
    <row r="1376">
      <c r="A1376" s="2"/>
      <c r="B1376" s="2"/>
      <c r="C1376" s="2"/>
      <c r="D1376" s="2"/>
      <c r="E1376" s="2"/>
    </row>
    <row r="1377">
      <c r="A1377" s="2"/>
      <c r="B1377" s="2"/>
      <c r="C1377" s="2"/>
      <c r="D1377" s="2"/>
      <c r="E1377" s="2"/>
    </row>
    <row r="1378">
      <c r="A1378" s="2"/>
      <c r="B1378" s="2"/>
      <c r="C1378" s="2"/>
      <c r="D1378" s="2"/>
      <c r="E1378" s="2"/>
    </row>
    <row r="1379">
      <c r="A1379" s="2"/>
      <c r="B1379" s="2"/>
      <c r="C1379" s="2"/>
      <c r="D1379" s="2"/>
      <c r="E1379" s="2"/>
    </row>
    <row r="1380">
      <c r="A1380" s="2"/>
      <c r="B1380" s="2"/>
      <c r="C1380" s="2"/>
      <c r="D1380" s="2"/>
      <c r="E1380" s="2"/>
    </row>
    <row r="1381">
      <c r="A1381" s="2"/>
      <c r="B1381" s="2"/>
      <c r="C1381" s="2"/>
      <c r="D1381" s="2"/>
      <c r="E1381" s="2"/>
    </row>
    <row r="1382">
      <c r="A1382" s="2"/>
      <c r="B1382" s="2"/>
      <c r="C1382" s="2"/>
      <c r="D1382" s="2"/>
      <c r="E1382" s="2"/>
    </row>
    <row r="1383">
      <c r="A1383" s="2"/>
      <c r="B1383" s="2"/>
      <c r="C1383" s="2"/>
      <c r="D1383" s="2"/>
      <c r="E1383" s="2"/>
    </row>
    <row r="1384">
      <c r="A1384" s="2"/>
      <c r="B1384" s="2"/>
      <c r="C1384" s="2"/>
      <c r="D1384" s="2"/>
      <c r="E1384" s="2"/>
    </row>
    <row r="1385">
      <c r="A1385" s="2"/>
      <c r="B1385" s="2"/>
      <c r="C1385" s="2"/>
      <c r="D1385" s="2"/>
      <c r="E1385" s="2"/>
    </row>
    <row r="1386">
      <c r="A1386" s="2"/>
      <c r="B1386" s="2"/>
      <c r="C1386" s="2"/>
      <c r="D1386" s="2"/>
      <c r="E1386" s="2"/>
    </row>
    <row r="1387">
      <c r="A1387" s="2"/>
      <c r="B1387" s="2"/>
      <c r="C1387" s="2"/>
      <c r="D1387" s="2"/>
      <c r="E1387" s="2"/>
    </row>
    <row r="1388">
      <c r="A1388" s="2"/>
      <c r="B1388" s="2"/>
      <c r="C1388" s="2"/>
      <c r="D1388" s="2"/>
      <c r="E1388" s="2"/>
    </row>
    <row r="1389">
      <c r="A1389" s="2"/>
      <c r="B1389" s="2"/>
      <c r="C1389" s="2"/>
      <c r="D1389" s="2"/>
      <c r="E1389" s="2"/>
    </row>
    <row r="1390">
      <c r="A1390" s="2"/>
      <c r="B1390" s="2"/>
      <c r="C1390" s="2"/>
      <c r="D1390" s="2"/>
      <c r="E1390" s="2"/>
    </row>
    <row r="1391">
      <c r="A1391" s="2"/>
      <c r="B1391" s="2"/>
      <c r="C1391" s="2"/>
      <c r="D1391" s="2"/>
      <c r="E1391" s="2"/>
    </row>
    <row r="1392">
      <c r="A1392" s="2"/>
      <c r="B1392" s="2"/>
      <c r="C1392" s="2"/>
      <c r="D1392" s="2"/>
      <c r="E1392" s="2"/>
    </row>
    <row r="1393">
      <c r="A1393" s="2"/>
      <c r="B1393" s="2"/>
      <c r="C1393" s="2"/>
      <c r="D1393" s="2"/>
      <c r="E1393" s="2"/>
    </row>
    <row r="1394">
      <c r="A1394" s="2"/>
      <c r="B1394" s="2"/>
      <c r="C1394" s="2"/>
      <c r="D1394" s="2"/>
      <c r="E1394" s="2"/>
    </row>
    <row r="1395">
      <c r="A1395" s="2"/>
      <c r="B1395" s="2"/>
      <c r="C1395" s="2"/>
      <c r="D1395" s="2"/>
      <c r="E1395" s="2"/>
    </row>
    <row r="1396">
      <c r="A1396" s="2"/>
      <c r="B1396" s="2"/>
      <c r="C1396" s="2"/>
      <c r="D1396" s="2"/>
      <c r="E1396" s="2"/>
    </row>
    <row r="1397">
      <c r="A1397" s="2"/>
      <c r="B1397" s="2"/>
      <c r="C1397" s="2"/>
      <c r="D1397" s="2"/>
      <c r="E1397" s="2"/>
    </row>
    <row r="1398">
      <c r="A1398" s="2"/>
      <c r="B1398" s="2"/>
      <c r="C1398" s="2"/>
      <c r="D1398" s="2"/>
      <c r="E1398" s="2"/>
    </row>
    <row r="1399">
      <c r="A1399" s="2"/>
      <c r="B1399" s="2"/>
      <c r="C1399" s="2"/>
      <c r="D1399" s="2"/>
      <c r="E1399" s="2"/>
    </row>
    <row r="1400">
      <c r="A1400" s="2"/>
      <c r="B1400" s="2"/>
      <c r="C1400" s="2"/>
      <c r="D1400" s="2"/>
      <c r="E1400" s="2"/>
    </row>
    <row r="1401">
      <c r="A1401" s="2"/>
      <c r="B1401" s="2"/>
      <c r="C1401" s="2"/>
      <c r="D1401" s="2"/>
      <c r="E1401" s="2"/>
    </row>
    <row r="1402">
      <c r="A1402" s="2"/>
      <c r="B1402" s="2"/>
      <c r="C1402" s="2"/>
      <c r="D1402" s="2"/>
      <c r="E1402" s="2"/>
    </row>
    <row r="1403">
      <c r="A1403" s="2"/>
      <c r="B1403" s="2"/>
      <c r="C1403" s="2"/>
      <c r="D1403" s="2"/>
      <c r="E1403" s="2"/>
    </row>
    <row r="1404">
      <c r="A1404" s="2"/>
      <c r="B1404" s="2"/>
      <c r="C1404" s="2"/>
      <c r="D1404" s="2"/>
      <c r="E1404" s="2"/>
    </row>
    <row r="1405">
      <c r="A1405" s="2"/>
      <c r="B1405" s="2"/>
      <c r="C1405" s="2"/>
      <c r="D1405" s="2"/>
      <c r="E1405" s="2"/>
    </row>
    <row r="1406">
      <c r="A1406" s="2"/>
      <c r="B1406" s="2"/>
      <c r="C1406" s="2"/>
      <c r="D1406" s="2"/>
      <c r="E1406" s="2"/>
    </row>
    <row r="1407">
      <c r="A1407" s="2"/>
      <c r="B1407" s="2"/>
      <c r="C1407" s="2"/>
      <c r="D1407" s="2"/>
      <c r="E1407" s="2"/>
    </row>
    <row r="1408">
      <c r="A1408" s="2"/>
      <c r="B1408" s="2"/>
      <c r="C1408" s="2"/>
      <c r="D1408" s="2"/>
      <c r="E1408" s="2"/>
    </row>
    <row r="1409">
      <c r="A1409" s="2"/>
      <c r="B1409" s="2"/>
      <c r="C1409" s="2"/>
      <c r="D1409" s="2"/>
      <c r="E1409" s="2"/>
    </row>
    <row r="1410">
      <c r="A1410" s="2"/>
      <c r="B1410" s="2"/>
      <c r="C1410" s="2"/>
      <c r="D1410" s="2"/>
      <c r="E1410" s="2"/>
    </row>
    <row r="1411">
      <c r="A1411" s="2"/>
      <c r="B1411" s="2"/>
      <c r="C1411" s="2"/>
      <c r="D1411" s="2"/>
      <c r="E1411" s="2"/>
    </row>
    <row r="1412">
      <c r="A1412" s="2"/>
      <c r="B1412" s="2"/>
      <c r="C1412" s="2"/>
      <c r="D1412" s="2"/>
      <c r="E1412" s="2"/>
    </row>
    <row r="1413">
      <c r="A1413" s="2"/>
      <c r="B1413" s="2"/>
      <c r="C1413" s="2"/>
      <c r="D1413" s="2"/>
      <c r="E1413" s="2"/>
    </row>
    <row r="1414">
      <c r="A1414" s="2"/>
      <c r="B1414" s="2"/>
      <c r="C1414" s="2"/>
      <c r="D1414" s="2"/>
      <c r="E1414" s="2"/>
    </row>
    <row r="1415">
      <c r="A1415" s="2"/>
      <c r="B1415" s="2"/>
      <c r="C1415" s="2"/>
      <c r="D1415" s="2"/>
      <c r="E1415" s="2"/>
    </row>
    <row r="1416">
      <c r="A1416" s="2"/>
      <c r="B1416" s="2"/>
      <c r="C1416" s="2"/>
      <c r="D1416" s="2"/>
      <c r="E1416" s="2"/>
    </row>
    <row r="1417">
      <c r="A1417" s="2"/>
      <c r="B1417" s="2"/>
      <c r="C1417" s="2"/>
      <c r="D1417" s="2"/>
      <c r="E1417" s="2"/>
    </row>
    <row r="1418">
      <c r="A1418" s="2"/>
      <c r="B1418" s="2"/>
      <c r="C1418" s="2"/>
      <c r="D1418" s="2"/>
      <c r="E1418" s="2"/>
    </row>
    <row r="1419">
      <c r="A1419" s="2"/>
      <c r="B1419" s="2"/>
      <c r="C1419" s="2"/>
      <c r="D1419" s="2"/>
      <c r="E1419" s="2"/>
    </row>
    <row r="1420">
      <c r="A1420" s="2"/>
      <c r="B1420" s="2"/>
      <c r="C1420" s="2"/>
      <c r="D1420" s="2"/>
      <c r="E1420" s="2"/>
    </row>
    <row r="1421">
      <c r="A1421" s="2"/>
      <c r="B1421" s="2"/>
      <c r="C1421" s="2"/>
      <c r="D1421" s="2"/>
      <c r="E1421" s="2"/>
    </row>
    <row r="1422">
      <c r="A1422" s="2"/>
      <c r="B1422" s="2"/>
      <c r="C1422" s="2"/>
      <c r="D1422" s="2"/>
      <c r="E1422" s="2"/>
    </row>
    <row r="1423">
      <c r="A1423" s="2"/>
      <c r="B1423" s="2"/>
      <c r="C1423" s="2"/>
      <c r="D1423" s="2"/>
      <c r="E1423" s="2"/>
    </row>
    <row r="1424">
      <c r="A1424" s="2"/>
      <c r="B1424" s="2"/>
      <c r="C1424" s="2"/>
      <c r="D1424" s="2"/>
      <c r="E1424" s="2"/>
    </row>
    <row r="1425">
      <c r="A1425" s="2"/>
      <c r="B1425" s="2"/>
      <c r="C1425" s="2"/>
      <c r="D1425" s="2"/>
      <c r="E1425" s="2"/>
    </row>
    <row r="1426">
      <c r="A1426" s="2"/>
      <c r="B1426" s="2"/>
      <c r="C1426" s="2"/>
      <c r="D1426" s="2"/>
      <c r="E1426" s="2"/>
    </row>
    <row r="1427">
      <c r="A1427" s="2"/>
      <c r="B1427" s="2"/>
      <c r="C1427" s="2"/>
      <c r="D1427" s="2"/>
      <c r="E1427" s="2"/>
    </row>
    <row r="1428">
      <c r="A1428" s="2"/>
      <c r="B1428" s="2"/>
      <c r="C1428" s="2"/>
      <c r="D1428" s="2"/>
      <c r="E1428" s="2"/>
    </row>
    <row r="1429">
      <c r="A1429" s="2"/>
      <c r="B1429" s="2"/>
      <c r="C1429" s="2"/>
      <c r="D1429" s="2"/>
      <c r="E1429" s="2"/>
    </row>
    <row r="1430">
      <c r="A1430" s="2"/>
      <c r="B1430" s="2"/>
      <c r="C1430" s="2"/>
      <c r="D1430" s="2"/>
      <c r="E1430" s="2"/>
    </row>
    <row r="1431">
      <c r="A1431" s="2"/>
      <c r="B1431" s="2"/>
      <c r="C1431" s="2"/>
      <c r="D1431" s="2"/>
      <c r="E1431" s="2"/>
    </row>
    <row r="1432">
      <c r="A1432" s="2"/>
      <c r="B1432" s="2"/>
      <c r="C1432" s="2"/>
      <c r="D1432" s="2"/>
      <c r="E1432" s="2"/>
    </row>
    <row r="1433">
      <c r="A1433" s="2"/>
      <c r="B1433" s="2"/>
      <c r="C1433" s="2"/>
      <c r="D1433" s="2"/>
      <c r="E1433" s="2"/>
    </row>
    <row r="1434">
      <c r="A1434" s="2"/>
      <c r="B1434" s="2"/>
      <c r="C1434" s="2"/>
      <c r="D1434" s="2"/>
      <c r="E1434" s="2"/>
    </row>
    <row r="1435">
      <c r="A1435" s="2"/>
      <c r="B1435" s="2"/>
      <c r="C1435" s="2"/>
      <c r="D1435" s="2"/>
      <c r="E1435" s="2"/>
    </row>
    <row r="1436">
      <c r="A1436" s="2"/>
      <c r="B1436" s="2"/>
      <c r="C1436" s="2"/>
      <c r="D1436" s="2"/>
      <c r="E1436" s="2"/>
    </row>
    <row r="1437">
      <c r="A1437" s="2"/>
      <c r="B1437" s="2"/>
      <c r="C1437" s="2"/>
      <c r="D1437" s="2"/>
      <c r="E1437" s="2"/>
    </row>
    <row r="1438">
      <c r="A1438" s="2"/>
      <c r="B1438" s="2"/>
      <c r="C1438" s="2"/>
      <c r="D1438" s="2"/>
      <c r="E1438" s="2"/>
    </row>
    <row r="1439">
      <c r="A1439" s="2"/>
      <c r="B1439" s="2"/>
      <c r="C1439" s="2"/>
      <c r="D1439" s="2"/>
      <c r="E1439" s="2"/>
    </row>
    <row r="1440">
      <c r="A1440" s="2"/>
      <c r="B1440" s="2"/>
      <c r="C1440" s="2"/>
      <c r="D1440" s="2"/>
      <c r="E1440" s="2"/>
    </row>
    <row r="1441">
      <c r="A1441" s="2"/>
      <c r="B1441" s="2"/>
      <c r="C1441" s="2"/>
      <c r="D1441" s="2"/>
      <c r="E1441" s="2"/>
    </row>
    <row r="1442">
      <c r="A1442" s="2"/>
      <c r="B1442" s="2"/>
      <c r="C1442" s="2"/>
      <c r="D1442" s="2"/>
      <c r="E1442" s="2"/>
    </row>
    <row r="1443">
      <c r="A1443" s="2"/>
      <c r="B1443" s="2"/>
      <c r="C1443" s="2"/>
      <c r="D1443" s="2"/>
      <c r="E1443" s="2"/>
    </row>
    <row r="1444">
      <c r="A1444" s="2"/>
      <c r="B1444" s="2"/>
      <c r="C1444" s="2"/>
      <c r="D1444" s="2"/>
      <c r="E1444" s="2"/>
    </row>
    <row r="1445">
      <c r="A1445" s="2"/>
      <c r="B1445" s="2"/>
      <c r="C1445" s="2"/>
      <c r="D1445" s="2"/>
      <c r="E1445" s="2"/>
    </row>
    <row r="1446">
      <c r="A1446" s="2"/>
      <c r="B1446" s="2"/>
      <c r="C1446" s="2"/>
      <c r="D1446" s="2"/>
      <c r="E1446" s="2"/>
    </row>
    <row r="1447">
      <c r="A1447" s="2"/>
      <c r="B1447" s="2"/>
      <c r="C1447" s="2"/>
      <c r="D1447" s="2"/>
      <c r="E1447" s="2"/>
    </row>
    <row r="1448">
      <c r="A1448" s="2"/>
      <c r="B1448" s="2"/>
      <c r="C1448" s="2"/>
      <c r="D1448" s="2"/>
      <c r="E1448" s="2"/>
    </row>
    <row r="1449">
      <c r="A1449" s="2"/>
      <c r="B1449" s="2"/>
      <c r="C1449" s="2"/>
      <c r="D1449" s="2"/>
      <c r="E1449" s="2"/>
    </row>
    <row r="1450">
      <c r="A1450" s="2"/>
      <c r="B1450" s="2"/>
      <c r="C1450" s="2"/>
      <c r="D1450" s="2"/>
      <c r="E1450" s="2"/>
    </row>
    <row r="1451">
      <c r="A1451" s="2"/>
      <c r="B1451" s="2"/>
      <c r="C1451" s="2"/>
      <c r="D1451" s="2"/>
      <c r="E1451" s="2"/>
    </row>
    <row r="1452">
      <c r="A1452" s="2"/>
      <c r="B1452" s="2"/>
      <c r="C1452" s="2"/>
      <c r="D1452" s="2"/>
      <c r="E1452" s="2"/>
    </row>
    <row r="1453">
      <c r="A1453" s="2"/>
      <c r="B1453" s="2"/>
      <c r="C1453" s="2"/>
      <c r="D1453" s="2"/>
      <c r="E1453" s="2"/>
    </row>
    <row r="1454">
      <c r="A1454" s="2"/>
      <c r="B1454" s="2"/>
      <c r="C1454" s="2"/>
      <c r="D1454" s="2"/>
      <c r="E1454" s="2"/>
    </row>
    <row r="1455">
      <c r="A1455" s="2"/>
      <c r="B1455" s="2"/>
      <c r="C1455" s="2"/>
      <c r="D1455" s="2"/>
      <c r="E1455" s="2"/>
    </row>
    <row r="1456">
      <c r="A1456" s="2"/>
      <c r="B1456" s="2"/>
      <c r="C1456" s="2"/>
      <c r="D1456" s="2"/>
      <c r="E1456" s="2"/>
    </row>
    <row r="1457">
      <c r="A1457" s="2"/>
      <c r="B1457" s="2"/>
      <c r="C1457" s="2"/>
      <c r="D1457" s="2"/>
      <c r="E1457" s="2"/>
    </row>
    <row r="1458">
      <c r="A1458" s="2"/>
      <c r="B1458" s="2"/>
      <c r="C1458" s="2"/>
      <c r="D1458" s="2"/>
      <c r="E1458" s="2"/>
    </row>
    <row r="1459">
      <c r="A1459" s="2"/>
      <c r="B1459" s="2"/>
      <c r="C1459" s="2"/>
      <c r="D1459" s="2"/>
      <c r="E1459" s="2"/>
    </row>
    <row r="1460">
      <c r="A1460" s="2"/>
      <c r="B1460" s="2"/>
      <c r="C1460" s="2"/>
      <c r="D1460" s="2"/>
      <c r="E1460" s="2"/>
    </row>
    <row r="1461">
      <c r="A1461" s="2"/>
      <c r="B1461" s="2"/>
      <c r="C1461" s="2"/>
      <c r="D1461" s="2"/>
      <c r="E1461" s="2"/>
    </row>
    <row r="1462">
      <c r="A1462" s="2"/>
      <c r="B1462" s="2"/>
      <c r="C1462" s="2"/>
      <c r="D1462" s="2"/>
      <c r="E1462" s="2"/>
    </row>
    <row r="1463">
      <c r="A1463" s="2"/>
      <c r="B1463" s="2"/>
      <c r="C1463" s="2"/>
      <c r="D1463" s="2"/>
      <c r="E1463" s="2"/>
    </row>
    <row r="1464">
      <c r="A1464" s="2"/>
      <c r="B1464" s="2"/>
      <c r="C1464" s="2"/>
      <c r="D1464" s="2"/>
      <c r="E1464" s="2"/>
    </row>
    <row r="1465">
      <c r="A1465" s="2"/>
      <c r="B1465" s="2"/>
      <c r="C1465" s="2"/>
      <c r="D1465" s="2"/>
      <c r="E1465" s="2"/>
    </row>
    <row r="1466">
      <c r="A1466" s="2"/>
      <c r="B1466" s="2"/>
      <c r="C1466" s="2"/>
      <c r="D1466" s="2"/>
      <c r="E1466" s="2"/>
    </row>
    <row r="1467">
      <c r="A1467" s="2"/>
      <c r="B1467" s="2"/>
      <c r="C1467" s="2"/>
      <c r="D1467" s="2"/>
      <c r="E1467" s="2"/>
    </row>
    <row r="1468">
      <c r="A1468" s="2"/>
      <c r="B1468" s="2"/>
      <c r="C1468" s="2"/>
      <c r="D1468" s="2"/>
      <c r="E1468" s="2"/>
    </row>
    <row r="1469">
      <c r="A1469" s="2"/>
      <c r="B1469" s="2"/>
      <c r="C1469" s="2"/>
      <c r="D1469" s="2"/>
      <c r="E1469" s="2"/>
    </row>
    <row r="1470">
      <c r="A1470" s="2"/>
      <c r="B1470" s="2"/>
      <c r="C1470" s="2"/>
      <c r="D1470" s="2"/>
      <c r="E1470" s="2"/>
    </row>
    <row r="1471">
      <c r="A1471" s="2"/>
      <c r="B1471" s="2"/>
      <c r="C1471" s="2"/>
      <c r="D1471" s="2"/>
      <c r="E1471" s="2"/>
    </row>
    <row r="1472">
      <c r="A1472" s="2"/>
      <c r="B1472" s="2"/>
      <c r="C1472" s="2"/>
      <c r="D1472" s="2"/>
      <c r="E1472" s="2"/>
    </row>
    <row r="1473">
      <c r="A1473" s="2"/>
      <c r="B1473" s="2"/>
      <c r="C1473" s="2"/>
      <c r="D1473" s="2"/>
      <c r="E1473" s="2"/>
    </row>
    <row r="1474">
      <c r="A1474" s="2"/>
      <c r="B1474" s="2"/>
      <c r="C1474" s="2"/>
      <c r="D1474" s="2"/>
      <c r="E1474" s="2"/>
    </row>
    <row r="1475">
      <c r="A1475" s="2"/>
      <c r="B1475" s="2"/>
      <c r="C1475" s="2"/>
      <c r="D1475" s="2"/>
      <c r="E1475" s="2"/>
    </row>
    <row r="1476">
      <c r="A1476" s="2"/>
      <c r="B1476" s="2"/>
      <c r="C1476" s="2"/>
      <c r="D1476" s="2"/>
      <c r="E1476" s="2"/>
    </row>
    <row r="1477">
      <c r="A1477" s="2"/>
      <c r="B1477" s="2"/>
      <c r="C1477" s="2"/>
      <c r="D1477" s="2"/>
      <c r="E1477" s="2"/>
    </row>
    <row r="1478">
      <c r="A1478" s="2"/>
      <c r="B1478" s="2"/>
      <c r="C1478" s="2"/>
      <c r="D1478" s="2"/>
      <c r="E1478" s="2"/>
    </row>
    <row r="1479">
      <c r="A1479" s="2"/>
      <c r="B1479" s="2"/>
      <c r="C1479" s="2"/>
      <c r="D1479" s="2"/>
      <c r="E1479" s="2"/>
    </row>
    <row r="1480">
      <c r="A1480" s="2"/>
      <c r="B1480" s="2"/>
      <c r="C1480" s="2"/>
      <c r="D1480" s="2"/>
      <c r="E1480" s="2"/>
    </row>
    <row r="1481">
      <c r="A1481" s="2"/>
      <c r="B1481" s="2"/>
      <c r="C1481" s="2"/>
      <c r="D1481" s="2"/>
      <c r="E1481" s="2"/>
    </row>
    <row r="1482">
      <c r="A1482" s="2"/>
      <c r="B1482" s="2"/>
      <c r="C1482" s="2"/>
      <c r="D1482" s="2"/>
      <c r="E1482" s="2"/>
    </row>
    <row r="1483">
      <c r="A1483" s="2"/>
      <c r="B1483" s="2"/>
      <c r="C1483" s="2"/>
      <c r="D1483" s="2"/>
      <c r="E1483" s="2"/>
    </row>
    <row r="1484">
      <c r="A1484" s="2"/>
      <c r="B1484" s="2"/>
      <c r="C1484" s="2"/>
      <c r="D1484" s="2"/>
      <c r="E1484" s="2"/>
    </row>
    <row r="1485">
      <c r="A1485" s="2"/>
      <c r="B1485" s="2"/>
      <c r="C1485" s="2"/>
      <c r="D1485" s="2"/>
      <c r="E1485" s="2"/>
    </row>
    <row r="1486">
      <c r="A1486" s="2"/>
      <c r="B1486" s="2"/>
      <c r="C1486" s="2"/>
      <c r="D1486" s="2"/>
      <c r="E1486" s="2"/>
    </row>
    <row r="1487">
      <c r="A1487" s="2"/>
      <c r="B1487" s="2"/>
      <c r="C1487" s="2"/>
      <c r="D1487" s="2"/>
      <c r="E1487" s="2"/>
    </row>
    <row r="1488">
      <c r="A1488" s="2"/>
      <c r="B1488" s="2"/>
      <c r="C1488" s="2"/>
      <c r="D1488" s="2"/>
      <c r="E1488" s="2"/>
    </row>
    <row r="1489">
      <c r="A1489" s="2"/>
      <c r="B1489" s="2"/>
      <c r="C1489" s="2"/>
      <c r="D1489" s="2"/>
      <c r="E1489" s="2"/>
    </row>
    <row r="1490">
      <c r="A1490" s="2"/>
      <c r="B1490" s="2"/>
      <c r="C1490" s="2"/>
      <c r="D1490" s="2"/>
      <c r="E1490" s="2"/>
    </row>
    <row r="1491">
      <c r="A1491" s="2"/>
      <c r="B1491" s="2"/>
      <c r="C1491" s="2"/>
      <c r="D1491" s="2"/>
      <c r="E1491" s="2"/>
    </row>
    <row r="1492">
      <c r="A1492" s="2"/>
      <c r="B1492" s="2"/>
      <c r="C1492" s="2"/>
      <c r="D1492" s="2"/>
      <c r="E1492" s="2"/>
    </row>
    <row r="1493">
      <c r="A1493" s="2"/>
      <c r="B1493" s="2"/>
      <c r="C1493" s="2"/>
      <c r="D1493" s="2"/>
      <c r="E1493" s="2"/>
    </row>
    <row r="1494">
      <c r="A1494" s="2"/>
      <c r="B1494" s="2"/>
      <c r="C1494" s="2"/>
      <c r="D1494" s="2"/>
      <c r="E1494" s="2"/>
    </row>
    <row r="1495">
      <c r="A1495" s="2"/>
      <c r="B1495" s="2"/>
      <c r="C1495" s="2"/>
      <c r="D1495" s="2"/>
      <c r="E1495" s="2"/>
    </row>
    <row r="1496">
      <c r="A1496" s="2"/>
      <c r="B1496" s="2"/>
      <c r="C1496" s="2"/>
      <c r="D1496" s="2"/>
      <c r="E1496" s="2"/>
    </row>
    <row r="1497">
      <c r="A1497" s="2"/>
      <c r="B1497" s="2"/>
      <c r="C1497" s="2"/>
      <c r="D1497" s="2"/>
      <c r="E1497" s="2"/>
    </row>
    <row r="1498">
      <c r="A1498" s="2"/>
      <c r="B1498" s="2"/>
      <c r="C1498" s="2"/>
      <c r="D1498" s="2"/>
      <c r="E1498" s="2"/>
    </row>
    <row r="1499">
      <c r="A1499" s="2"/>
      <c r="B1499" s="2"/>
      <c r="C1499" s="2"/>
      <c r="D1499" s="2"/>
      <c r="E1499" s="2"/>
    </row>
    <row r="1500">
      <c r="A1500" s="2"/>
      <c r="B1500" s="2"/>
      <c r="C1500" s="2"/>
      <c r="D1500" s="2"/>
      <c r="E1500" s="2"/>
    </row>
    <row r="1501">
      <c r="A1501" s="2"/>
      <c r="B1501" s="2"/>
      <c r="C1501" s="2"/>
      <c r="D1501" s="2"/>
      <c r="E1501" s="2"/>
    </row>
    <row r="1502">
      <c r="A1502" s="2"/>
      <c r="B1502" s="2"/>
      <c r="C1502" s="2"/>
      <c r="D1502" s="2"/>
      <c r="E1502" s="2"/>
    </row>
    <row r="1503">
      <c r="A1503" s="2"/>
      <c r="B1503" s="2"/>
      <c r="C1503" s="2"/>
      <c r="D1503" s="2"/>
      <c r="E1503" s="2"/>
    </row>
    <row r="1504">
      <c r="A1504" s="2"/>
      <c r="B1504" s="2"/>
      <c r="C1504" s="2"/>
      <c r="D1504" s="2"/>
      <c r="E1504" s="2"/>
    </row>
    <row r="1505">
      <c r="A1505" s="2"/>
      <c r="B1505" s="2"/>
      <c r="C1505" s="2"/>
      <c r="D1505" s="2"/>
      <c r="E1505" s="2"/>
    </row>
    <row r="1506">
      <c r="A1506" s="2"/>
      <c r="B1506" s="2"/>
      <c r="C1506" s="2"/>
      <c r="D1506" s="2"/>
      <c r="E1506" s="2"/>
    </row>
    <row r="1507">
      <c r="A1507" s="2"/>
      <c r="B1507" s="2"/>
      <c r="C1507" s="2"/>
      <c r="D1507" s="2"/>
      <c r="E1507" s="2"/>
    </row>
    <row r="1508">
      <c r="A1508" s="2"/>
      <c r="B1508" s="2"/>
      <c r="C1508" s="2"/>
      <c r="D1508" s="2"/>
      <c r="E1508" s="2"/>
    </row>
    <row r="1509">
      <c r="A1509" s="2"/>
      <c r="B1509" s="2"/>
      <c r="C1509" s="2"/>
      <c r="D1509" s="2"/>
      <c r="E1509" s="2"/>
    </row>
    <row r="1510">
      <c r="A1510" s="2"/>
      <c r="B1510" s="2"/>
      <c r="C1510" s="2"/>
      <c r="D1510" s="2"/>
      <c r="E1510" s="2"/>
    </row>
    <row r="1511">
      <c r="A1511" s="2"/>
      <c r="B1511" s="2"/>
      <c r="C1511" s="2"/>
      <c r="D1511" s="2"/>
      <c r="E1511" s="2"/>
    </row>
    <row r="1512">
      <c r="A1512" s="2"/>
      <c r="B1512" s="2"/>
      <c r="C1512" s="2"/>
      <c r="D1512" s="2"/>
      <c r="E1512" s="2"/>
    </row>
    <row r="1513">
      <c r="A1513" s="2"/>
      <c r="B1513" s="2"/>
      <c r="C1513" s="2"/>
      <c r="D1513" s="2"/>
      <c r="E1513" s="2"/>
    </row>
    <row r="1514">
      <c r="A1514" s="2"/>
      <c r="B1514" s="2"/>
      <c r="C1514" s="2"/>
      <c r="D1514" s="2"/>
      <c r="E1514" s="2"/>
    </row>
    <row r="1515">
      <c r="A1515" s="2"/>
      <c r="B1515" s="2"/>
      <c r="C1515" s="2"/>
      <c r="D1515" s="2"/>
      <c r="E1515" s="2"/>
    </row>
    <row r="1516">
      <c r="A1516" s="2"/>
      <c r="B1516" s="2"/>
      <c r="C1516" s="2"/>
      <c r="D1516" s="2"/>
      <c r="E1516" s="2"/>
    </row>
    <row r="1517">
      <c r="A1517" s="2"/>
      <c r="B1517" s="2"/>
      <c r="C1517" s="2"/>
      <c r="D1517" s="2"/>
      <c r="E1517" s="2"/>
    </row>
    <row r="1518">
      <c r="A1518" s="2"/>
      <c r="B1518" s="2"/>
      <c r="C1518" s="2"/>
      <c r="D1518" s="2"/>
      <c r="E1518" s="2"/>
    </row>
    <row r="1519">
      <c r="A1519" s="2"/>
      <c r="B1519" s="2"/>
      <c r="C1519" s="2"/>
      <c r="D1519" s="2"/>
      <c r="E1519" s="2"/>
    </row>
    <row r="1520">
      <c r="A1520" s="2"/>
      <c r="B1520" s="2"/>
      <c r="C1520" s="2"/>
      <c r="D1520" s="2"/>
      <c r="E1520" s="2"/>
    </row>
    <row r="1521">
      <c r="A1521" s="2"/>
      <c r="B1521" s="2"/>
      <c r="C1521" s="2"/>
      <c r="D1521" s="2"/>
      <c r="E1521" s="2"/>
    </row>
    <row r="1522">
      <c r="A1522" s="2"/>
      <c r="B1522" s="2"/>
      <c r="C1522" s="2"/>
      <c r="D1522" s="2"/>
      <c r="E1522" s="2"/>
    </row>
    <row r="1523">
      <c r="A1523" s="2"/>
      <c r="B1523" s="2"/>
      <c r="C1523" s="2"/>
      <c r="D1523" s="2"/>
      <c r="E1523" s="2"/>
    </row>
    <row r="1524">
      <c r="A1524" s="2"/>
      <c r="B1524" s="2"/>
      <c r="C1524" s="2"/>
      <c r="D1524" s="2"/>
      <c r="E1524" s="2"/>
    </row>
    <row r="1525">
      <c r="A1525" s="2"/>
      <c r="B1525" s="2"/>
      <c r="C1525" s="2"/>
      <c r="D1525" s="2"/>
      <c r="E1525" s="2"/>
    </row>
    <row r="1526">
      <c r="A1526" s="2"/>
      <c r="B1526" s="2"/>
      <c r="C1526" s="2"/>
      <c r="D1526" s="2"/>
      <c r="E1526" s="2"/>
    </row>
    <row r="1527">
      <c r="A1527" s="2"/>
      <c r="B1527" s="2"/>
      <c r="C1527" s="2"/>
      <c r="D1527" s="2"/>
      <c r="E1527" s="2"/>
    </row>
    <row r="1528">
      <c r="A1528" s="2"/>
      <c r="B1528" s="2"/>
      <c r="C1528" s="2"/>
      <c r="D1528" s="2"/>
      <c r="E1528" s="2"/>
    </row>
    <row r="1529">
      <c r="A1529" s="2"/>
      <c r="B1529" s="2"/>
      <c r="C1529" s="2"/>
      <c r="D1529" s="2"/>
      <c r="E1529" s="2"/>
    </row>
    <row r="1530">
      <c r="A1530" s="2"/>
      <c r="B1530" s="2"/>
      <c r="C1530" s="2"/>
      <c r="D1530" s="2"/>
      <c r="E1530" s="2"/>
    </row>
    <row r="1531">
      <c r="A1531" s="2"/>
      <c r="B1531" s="2"/>
      <c r="C1531" s="2"/>
      <c r="D1531" s="2"/>
      <c r="E1531" s="2"/>
    </row>
    <row r="1532">
      <c r="A1532" s="2"/>
      <c r="B1532" s="2"/>
      <c r="C1532" s="2"/>
      <c r="D1532" s="2"/>
      <c r="E1532" s="2"/>
    </row>
    <row r="1533">
      <c r="A1533" s="2"/>
      <c r="B1533" s="2"/>
      <c r="C1533" s="2"/>
      <c r="D1533" s="2"/>
      <c r="E1533" s="2"/>
    </row>
    <row r="1534">
      <c r="A1534" s="2"/>
      <c r="B1534" s="2"/>
      <c r="C1534" s="2"/>
      <c r="D1534" s="2"/>
      <c r="E1534" s="2"/>
    </row>
    <row r="1535">
      <c r="A1535" s="2"/>
      <c r="B1535" s="2"/>
      <c r="C1535" s="2"/>
      <c r="D1535" s="2"/>
      <c r="E1535" s="2"/>
    </row>
    <row r="1536">
      <c r="A1536" s="2"/>
      <c r="B1536" s="2"/>
      <c r="C1536" s="2"/>
      <c r="D1536" s="2"/>
      <c r="E1536" s="2"/>
    </row>
    <row r="1537">
      <c r="A1537" s="2"/>
      <c r="B1537" s="2"/>
      <c r="C1537" s="2"/>
      <c r="D1537" s="2"/>
      <c r="E1537" s="2"/>
    </row>
    <row r="1538">
      <c r="A1538" s="2"/>
      <c r="B1538" s="2"/>
      <c r="C1538" s="2"/>
      <c r="D1538" s="2"/>
      <c r="E1538" s="2"/>
    </row>
    <row r="1539">
      <c r="A1539" s="2"/>
      <c r="B1539" s="2"/>
      <c r="C1539" s="2"/>
      <c r="D1539" s="2"/>
      <c r="E1539" s="2"/>
    </row>
    <row r="1540">
      <c r="A1540" s="2"/>
      <c r="B1540" s="2"/>
      <c r="C1540" s="2"/>
      <c r="D1540" s="2"/>
      <c r="E1540" s="2"/>
    </row>
    <row r="1541">
      <c r="A1541" s="2"/>
      <c r="B1541" s="2"/>
      <c r="C1541" s="2"/>
      <c r="D1541" s="2"/>
      <c r="E1541" s="2"/>
    </row>
    <row r="1542">
      <c r="A1542" s="2"/>
      <c r="B1542" s="2"/>
      <c r="C1542" s="2"/>
      <c r="D1542" s="2"/>
      <c r="E1542" s="2"/>
    </row>
    <row r="1543">
      <c r="A1543" s="2"/>
      <c r="B1543" s="2"/>
      <c r="C1543" s="2"/>
      <c r="D1543" s="2"/>
      <c r="E1543" s="2"/>
    </row>
    <row r="1544">
      <c r="A1544" s="2"/>
      <c r="B1544" s="2"/>
      <c r="C1544" s="2"/>
      <c r="D1544" s="2"/>
      <c r="E1544" s="2"/>
    </row>
    <row r="1545">
      <c r="A1545" s="2"/>
      <c r="B1545" s="2"/>
      <c r="C1545" s="2"/>
      <c r="D1545" s="2"/>
      <c r="E1545" s="2"/>
    </row>
    <row r="1546">
      <c r="A1546" s="2"/>
      <c r="B1546" s="2"/>
      <c r="C1546" s="2"/>
      <c r="D1546" s="2"/>
      <c r="E1546" s="2"/>
    </row>
  </sheetData>
  <drawing r:id="rId1"/>
</worksheet>
</file>